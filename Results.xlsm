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45640261-E1CA-6E41-8E62-30B70BE2E52C}" xr6:coauthVersionLast="40" xr6:coauthVersionMax="40" xr10:uidLastSave="{00000000-0000-0000-0000-000000000000}"/>
  <bookViews>
    <workbookView xWindow="9720" yWindow="1840" windowWidth="23880" windowHeight="1862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Results!$A$1:$M$106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6" i="2" l="1"/>
  <c r="B106" i="2" s="1"/>
  <c r="A107" i="2"/>
  <c r="B107" i="2" s="1"/>
  <c r="A108" i="2"/>
  <c r="B108" i="2" s="1"/>
  <c r="A96" i="2"/>
  <c r="B96" i="2" s="1"/>
  <c r="A97" i="2"/>
  <c r="B97" i="2" s="1"/>
  <c r="A98" i="2"/>
  <c r="B98" i="2" s="1"/>
  <c r="A99" i="2"/>
  <c r="B99" i="2" s="1"/>
  <c r="A100" i="2"/>
  <c r="B100" i="2" s="1"/>
  <c r="A101" i="2"/>
  <c r="B101" i="2" s="1"/>
  <c r="A102" i="2"/>
  <c r="B102" i="2" s="1"/>
  <c r="A103" i="2"/>
  <c r="B103" i="2" s="1"/>
  <c r="A104" i="2"/>
  <c r="B104" i="2" s="1"/>
  <c r="A105" i="2"/>
  <c r="B105" i="2" s="1"/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Hello</author>
    <author>smax</author>
    <author>M M</author>
  </authors>
  <commentList>
    <comment ref="G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B42" authorId="1" shapeId="0" xr:uid="{00000000-0006-0000-0000-000002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4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J47" authorId="1" shapeId="0" xr:uid="{00000000-0006-0000-0000-000004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GA
</t>
        </r>
      </text>
    </comment>
    <comment ref="J54" authorId="2" shapeId="0" xr:uid="{86A1A08C-3A53-9943-9D2D-6C849913DCAA}">
      <text>
        <r>
          <rPr>
            <b/>
            <sz val="10"/>
            <color rgb="FF000000"/>
            <rFont val="Tahoma"/>
            <family val="2"/>
            <charset val="204"/>
          </rPr>
          <t>M M: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2.0.3 Adj</t>
        </r>
      </text>
    </comment>
    <comment ref="J71" authorId="2" shapeId="0" xr:uid="{DCA6A18E-15CD-C94C-89DB-186EA97973F3}">
      <text>
        <r>
          <rPr>
            <b/>
            <sz val="10"/>
            <color rgb="FF000000"/>
            <rFont val="Tahoma"/>
            <family val="2"/>
            <charset val="204"/>
          </rPr>
          <t>M M: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2.0.3 Adj</t>
        </r>
      </text>
    </comment>
    <comment ref="B80" authorId="1" shapeId="0" xr:uid="{00000000-0006-0000-0000-000005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9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3" authorId="0" shapeId="0" xr:uid="{00000000-0006-0000-0000-000007000000}">
      <text>
        <r>
          <rPr>
            <b/>
            <sz val="9"/>
            <color rgb="FF000000"/>
            <rFont val="Tahoma"/>
            <family val="2"/>
          </rPr>
          <t>Hello: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GA
</t>
        </r>
      </text>
    </comment>
    <comment ref="G10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5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  <comment ref="G106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</commentList>
</comments>
</file>

<file path=xl/sharedStrings.xml><?xml version="1.0" encoding="utf-8"?>
<sst xmlns="http://schemas.openxmlformats.org/spreadsheetml/2006/main" count="341" uniqueCount="203">
  <si>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</si>
  <si>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</si>
  <si>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</si>
  <si>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</si>
  <si>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</si>
  <si>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</si>
  <si>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</si>
  <si>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</si>
  <si>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</si>
  <si>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</si>
  <si>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</si>
  <si>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</si>
  <si>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</si>
  <si>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</si>
  <si>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</si>
  <si>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</si>
  <si>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</si>
  <si>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</si>
  <si>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</si>
  <si>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</si>
  <si>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</si>
  <si>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</si>
  <si>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</si>
  <si>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</si>
  <si>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</si>
  <si>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</si>
  <si>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</si>
  <si>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</si>
  <si>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</si>
  <si>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</si>
  <si>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</si>
  <si>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</si>
  <si>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</si>
  <si>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</si>
  <si>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</si>
  <si>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</si>
  <si>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</si>
  <si>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</si>
  <si>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</si>
  <si>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</si>
  <si>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</si>
  <si>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</si>
  <si>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</si>
  <si>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</si>
  <si>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</si>
  <si>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</si>
  <si>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</si>
  <si>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</si>
  <si>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</si>
  <si>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</si>
  <si>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</si>
  <si>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</si>
  <si>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</si>
  <si>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</si>
  <si>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</si>
  <si>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</si>
  <si>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</si>
  <si>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</si>
  <si>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</si>
  <si>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</si>
  <si>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</si>
  <si>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</si>
  <si>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</si>
  <si>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</si>
  <si>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</si>
  <si>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</si>
  <si>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</si>
  <si>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</si>
  <si>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</si>
  <si>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</si>
  <si>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</si>
  <si>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</si>
  <si>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</si>
  <si>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</si>
  <si>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</si>
  <si>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</si>
  <si>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</si>
  <si>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</si>
  <si>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</si>
  <si>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</si>
  <si>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</si>
  <si>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</si>
  <si>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</si>
  <si>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</si>
  <si>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</si>
  <si>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</si>
  <si>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</si>
  <si>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</si>
  <si>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</si>
  <si>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</si>
  <si>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</si>
  <si>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</si>
  <si>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</si>
  <si>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</si>
  <si>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</si>
  <si>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</si>
  <si>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</si>
  <si>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</si>
  <si>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</si>
  <si>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</si>
  <si>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</si>
  <si>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</si>
  <si>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</si>
  <si>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</si>
  <si>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</si>
  <si>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</si>
  <si>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</si>
  <si>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</si>
  <si>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</si>
  <si>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</si>
  <si>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</si>
  <si>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</si>
  <si>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</si>
  <si>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</si>
  <si>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</si>
  <si>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</si>
  <si>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</si>
  <si>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</si>
  <si>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</si>
  <si>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</si>
  <si>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</si>
  <si>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</si>
  <si>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</si>
  <si>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</si>
  <si>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</si>
  <si>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</si>
  <si>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</si>
  <si>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</si>
  <si>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</si>
  <si>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</si>
  <si>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</si>
  <si>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</si>
  <si>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</si>
  <si>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</si>
  <si>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</si>
  <si>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</si>
  <si>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</si>
  <si>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</si>
  <si>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</si>
  <si>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</si>
  <si>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</si>
  <si>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</si>
  <si>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</si>
  <si>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</si>
  <si>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</si>
  <si>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</si>
  <si>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</si>
  <si>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</si>
  <si>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</si>
  <si>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</si>
  <si>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</si>
  <si>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</si>
  <si>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</si>
  <si>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</si>
  <si>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</si>
  <si>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</si>
  <si>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</si>
  <si>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</si>
  <si>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</si>
  <si>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</si>
  <si>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</si>
  <si>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</si>
  <si>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</si>
  <si>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</si>
  <si>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</si>
  <si>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</si>
  <si>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</si>
  <si>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</si>
  <si>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</si>
  <si>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</si>
  <si>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</si>
  <si>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</si>
  <si>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</si>
  <si>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</si>
  <si>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</si>
  <si>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</si>
  <si>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</si>
  <si>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</si>
  <si>
    <t>Apple 13\" MacBook Air</t>
  </si>
  <si>
    <t>16/512GB</t>
  </si>
  <si>
    <t>Early, 512GB</t>
  </si>
  <si>
    <t>Mid, 256GB</t>
  </si>
  <si>
    <t>128GB</t>
  </si>
  <si>
    <t>Nokia 8 Scirocco</t>
  </si>
  <si>
    <t>Snapdragon 835, 6/128GB</t>
  </si>
  <si>
    <t>Tecno Camon C5</t>
  </si>
  <si>
    <t>MediaTek MT6735, 1/8GB</t>
  </si>
  <si>
    <t>ASUS Chromebook Flip C302</t>
  </si>
  <si>
    <t>Core m3-6Y30, 4/64GB eMMC</t>
  </si>
  <si>
    <t>Huawei Mate 20 Pro</t>
  </si>
  <si>
    <t>Toshiba Exceria microSD Card</t>
  </si>
  <si>
    <t>16GB, Class U1, USB 3.0 Card Reader</t>
  </si>
  <si>
    <t>Silicon Power LuxMini 710 Flash</t>
  </si>
  <si>
    <t>4GB, USB 2.0</t>
  </si>
  <si>
    <t>Kirin 970, 4/128GB</t>
  </si>
  <si>
    <t>Honor 10</t>
  </si>
  <si>
    <t>Huawei P9 Plus</t>
  </si>
  <si>
    <t>Kirin 955, 4/64GB</t>
  </si>
  <si>
    <t>Exynos 7420, 3/32GB</t>
  </si>
  <si>
    <t>nVidia Shield TV</t>
  </si>
  <si>
    <t>Tegra X1, 3/16GB</t>
  </si>
  <si>
    <t>noMem</t>
  </si>
  <si>
    <t>Samsung Galaxy S6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</si>
</sst>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13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9" fillId="0" borderId="0" xfId="0" applyFont="1"/>
    <xf numFmtId="165" fontId="1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115"/>
  <sheetViews>
    <sheetView tabSelected="1" topLeftCell="B1" zoomScaleNormal="100" workbookViewId="0">
      <pane ySplit="1" topLeftCell="A2" activePane="bottomLeft" state="frozen"/>
      <selection pane="bottomLeft" activeCell="N75" sqref="N75"/>
    </sheetView>
  </sheetViews>
  <sheetFormatPr baseColWidth="10" defaultColWidth="11" defaultRowHeight="16"/>
  <cols>
    <col min="1" max="1" width="4.5" style="1" customWidth="1"/>
    <col min="2" max="2" width="47.5" style="2" customWidth="1"/>
    <col min="3" max="3" width="10.5" customWidth="1"/>
    <col min="4" max="4" width="29.83203125" customWidth="1"/>
    <col min="5" max="5" width="16" customWidth="1"/>
    <col min="6" max="6" width="7.83203125" customWidth="1"/>
    <col min="7" max="7" width="12.33203125" customWidth="1"/>
    <col min="8" max="8" width="13.83203125" customWidth="1"/>
    <col min="9" max="9" width="15" customWidth="1"/>
    <col min="10" max="10" width="12.33203125" customWidth="1"/>
    <col min="11" max="11" width="13" customWidth="1"/>
    <col min="12" max="12" width="14.1640625" customWidth="1"/>
  </cols>
  <sheetData>
    <row r="1" spans="1:14" s="1" customFormat="1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68</v>
      </c>
      <c r="N1" s="1" t="s">
        <v>201</v>
      </c>
    </row>
    <row r="2" spans="1:14" s="2" customFormat="1">
      <c r="A2" s="1">
        <v>1</v>
      </c>
      <c r="B2" s="2" t="s">
        <v>115</v>
      </c>
      <c r="C2" s="2" t="s">
        <v>12</v>
      </c>
      <c r="D2" s="2" t="s">
        <v>83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4" s="2" customFormat="1">
      <c r="A3" s="1">
        <v>2</v>
      </c>
      <c r="B3" s="2" t="s">
        <v>0</v>
      </c>
      <c r="C3" s="2" t="s">
        <v>12</v>
      </c>
      <c r="D3" s="2" t="s">
        <v>82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67</v>
      </c>
    </row>
    <row r="4" spans="1:14">
      <c r="A4" s="1">
        <v>3</v>
      </c>
      <c r="B4" s="2" t="s">
        <v>11</v>
      </c>
      <c r="C4" s="2" t="s">
        <v>12</v>
      </c>
      <c r="D4" s="2" t="s">
        <v>81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4">
      <c r="A5" s="1">
        <v>4</v>
      </c>
      <c r="B5" s="2" t="s">
        <v>126</v>
      </c>
      <c r="C5" s="2" t="s">
        <v>13</v>
      </c>
      <c r="D5" s="2" t="s">
        <v>155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4">
      <c r="A6" s="1">
        <v>5</v>
      </c>
      <c r="B6" s="2" t="s">
        <v>127</v>
      </c>
      <c r="C6" s="2" t="s">
        <v>13</v>
      </c>
      <c r="D6" s="2" t="s">
        <v>156</v>
      </c>
      <c r="E6" s="2" t="s">
        <v>56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4">
      <c r="A7" s="1">
        <v>6</v>
      </c>
      <c r="B7" s="2" t="s">
        <v>126</v>
      </c>
      <c r="C7" s="2" t="s">
        <v>14</v>
      </c>
      <c r="D7" s="2" t="s">
        <v>157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4">
      <c r="A8" s="1">
        <v>7</v>
      </c>
      <c r="B8" s="2" t="s">
        <v>126</v>
      </c>
      <c r="C8" s="2" t="s">
        <v>14</v>
      </c>
      <c r="D8" s="2" t="s">
        <v>158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4">
      <c r="A9" s="1">
        <v>8</v>
      </c>
      <c r="B9" s="2" t="s">
        <v>17</v>
      </c>
      <c r="C9" s="2" t="s">
        <v>12</v>
      </c>
      <c r="D9" s="2" t="s">
        <v>76</v>
      </c>
      <c r="E9" s="2"/>
      <c r="F9" s="2">
        <v>2018</v>
      </c>
      <c r="G9" s="3">
        <v>43405</v>
      </c>
      <c r="H9" s="4">
        <v>160</v>
      </c>
      <c r="I9" s="4">
        <v>560</v>
      </c>
      <c r="J9" s="4">
        <v>5.8</v>
      </c>
      <c r="K9" s="4">
        <v>13.2</v>
      </c>
      <c r="L9" s="5">
        <v>7.9</v>
      </c>
      <c r="M9" s="2"/>
    </row>
    <row r="10" spans="1:14" s="2" customFormat="1">
      <c r="A10" s="1">
        <v>9</v>
      </c>
      <c r="B10" s="2" t="s">
        <v>41</v>
      </c>
      <c r="C10" s="2" t="s">
        <v>12</v>
      </c>
      <c r="D10" s="2" t="s">
        <v>77</v>
      </c>
      <c r="F10" s="2">
        <v>2016</v>
      </c>
      <c r="G10" s="3">
        <v>43483</v>
      </c>
      <c r="H10" s="4">
        <v>76</v>
      </c>
      <c r="I10" s="4">
        <v>292</v>
      </c>
      <c r="J10" s="4">
        <v>2.95</v>
      </c>
      <c r="K10" s="4">
        <v>9.9</v>
      </c>
      <c r="L10" s="5">
        <v>5.45</v>
      </c>
    </row>
    <row r="11" spans="1:14">
      <c r="A11" s="1">
        <v>10</v>
      </c>
      <c r="B11" s="2" t="s">
        <v>116</v>
      </c>
      <c r="C11" s="2" t="s">
        <v>12</v>
      </c>
      <c r="D11" s="2" t="s">
        <v>78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67</v>
      </c>
    </row>
    <row r="12" spans="1:14" s="1" customFormat="1">
      <c r="A12" s="1">
        <v>11</v>
      </c>
      <c r="B12" s="2" t="s">
        <v>18</v>
      </c>
      <c r="C12" s="2" t="s">
        <v>12</v>
      </c>
      <c r="D12" s="2" t="s">
        <v>79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4">
      <c r="A13" s="1">
        <v>12</v>
      </c>
      <c r="B13" s="2" t="s">
        <v>19</v>
      </c>
      <c r="C13" s="2" t="s">
        <v>12</v>
      </c>
      <c r="D13" s="2" t="s">
        <v>80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4" s="1" customFormat="1">
      <c r="A14" s="1">
        <v>13</v>
      </c>
      <c r="B14" s="2" t="s">
        <v>117</v>
      </c>
      <c r="C14" s="2" t="s">
        <v>12</v>
      </c>
      <c r="D14" s="2" t="s">
        <v>80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4" s="1" customFormat="1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4" s="1" customFormat="1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4">
      <c r="A17" s="1">
        <v>16</v>
      </c>
      <c r="B17" s="2" t="s">
        <v>75</v>
      </c>
      <c r="C17" s="2" t="s">
        <v>14</v>
      </c>
      <c r="D17" s="2" t="s">
        <v>73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  <c r="N17" s="2" t="s">
        <v>67</v>
      </c>
    </row>
    <row r="18" spans="1:14">
      <c r="A18" s="1">
        <v>17</v>
      </c>
      <c r="B18" s="2" t="s">
        <v>25</v>
      </c>
      <c r="C18" s="2" t="s">
        <v>14</v>
      </c>
      <c r="D18" s="2" t="s">
        <v>125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  <c r="N18" s="2" t="s">
        <v>67</v>
      </c>
    </row>
    <row r="19" spans="1:14" s="1" customFormat="1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4" s="1" customFormat="1">
      <c r="A20" s="1">
        <v>19</v>
      </c>
      <c r="B20" s="2" t="s">
        <v>40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4">
      <c r="A21" s="1">
        <v>20</v>
      </c>
      <c r="B21" s="2" t="s">
        <v>29</v>
      </c>
      <c r="C21" s="2" t="s">
        <v>12</v>
      </c>
      <c r="D21" s="2" t="s">
        <v>59</v>
      </c>
      <c r="E21" s="2"/>
      <c r="F21" s="2">
        <v>2017</v>
      </c>
      <c r="G21" s="3">
        <v>43377</v>
      </c>
      <c r="H21" s="4">
        <v>37.9</v>
      </c>
      <c r="I21" s="4">
        <v>166</v>
      </c>
      <c r="J21" s="4">
        <v>8.1199999999999992</v>
      </c>
      <c r="K21" s="4">
        <v>6</v>
      </c>
      <c r="L21" s="5">
        <v>1.47</v>
      </c>
      <c r="M21" s="2"/>
    </row>
    <row r="22" spans="1:14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4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 t="s">
        <v>67</v>
      </c>
    </row>
    <row r="24" spans="1:14">
      <c r="A24" s="1">
        <v>23</v>
      </c>
      <c r="B24" s="2" t="s">
        <v>127</v>
      </c>
      <c r="C24" s="2" t="s">
        <v>13</v>
      </c>
      <c r="D24" s="2" t="s">
        <v>180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4">
      <c r="A25" s="1">
        <v>24</v>
      </c>
      <c r="B25" s="2" t="s">
        <v>127</v>
      </c>
      <c r="C25" s="2" t="s">
        <v>13</v>
      </c>
      <c r="D25" s="2" t="s">
        <v>181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4">
      <c r="A26" s="1">
        <v>25</v>
      </c>
      <c r="B26" s="2" t="s">
        <v>128</v>
      </c>
      <c r="C26" s="2" t="s">
        <v>13</v>
      </c>
      <c r="D26" s="2" t="s">
        <v>182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4">
      <c r="A27" s="1">
        <v>26</v>
      </c>
      <c r="B27" s="2" t="s">
        <v>33</v>
      </c>
      <c r="C27" s="2" t="s">
        <v>12</v>
      </c>
      <c r="D27" s="2" t="s">
        <v>34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4">
      <c r="A28" s="1">
        <v>27</v>
      </c>
      <c r="B28" s="2" t="s">
        <v>35</v>
      </c>
      <c r="C28" s="2" t="s">
        <v>14</v>
      </c>
      <c r="D28" s="2" t="s">
        <v>36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4">
      <c r="A29" s="1">
        <v>28</v>
      </c>
      <c r="B29" s="2" t="s">
        <v>35</v>
      </c>
      <c r="C29" s="2" t="s">
        <v>14</v>
      </c>
      <c r="D29" s="2" t="s">
        <v>37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4">
      <c r="A30" s="1">
        <v>29</v>
      </c>
      <c r="B30" s="2" t="s">
        <v>38</v>
      </c>
      <c r="C30" s="2" t="s">
        <v>12</v>
      </c>
      <c r="D30" s="2" t="s">
        <v>39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4">
      <c r="A31" s="1">
        <v>30</v>
      </c>
      <c r="B31" s="2" t="s">
        <v>87</v>
      </c>
      <c r="C31" s="2" t="s">
        <v>14</v>
      </c>
      <c r="D31" s="2" t="s">
        <v>84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4">
      <c r="A32" s="1">
        <v>31</v>
      </c>
      <c r="B32" s="2" t="s">
        <v>88</v>
      </c>
      <c r="C32" s="2" t="s">
        <v>14</v>
      </c>
      <c r="D32" s="2" t="s">
        <v>74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4">
      <c r="A33" s="1">
        <v>32</v>
      </c>
      <c r="B33" s="2" t="s">
        <v>115</v>
      </c>
      <c r="C33" s="2" t="s">
        <v>12</v>
      </c>
      <c r="D33" s="2" t="s">
        <v>48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4">
      <c r="A34" s="1">
        <v>33</v>
      </c>
      <c r="B34" s="2" t="s">
        <v>42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4">
      <c r="A35" s="1">
        <v>34</v>
      </c>
      <c r="B35" s="2" t="s">
        <v>42</v>
      </c>
      <c r="C35" s="2" t="s">
        <v>12</v>
      </c>
      <c r="D35" s="2" t="s">
        <v>43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4">
      <c r="A36" s="1">
        <v>35</v>
      </c>
      <c r="B36" s="2" t="s">
        <v>116</v>
      </c>
      <c r="C36" s="2" t="s">
        <v>12</v>
      </c>
      <c r="D36" s="2" t="s">
        <v>47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4">
      <c r="A37" s="1">
        <v>36</v>
      </c>
      <c r="B37" s="2" t="s">
        <v>116</v>
      </c>
      <c r="C37" s="2" t="s">
        <v>12</v>
      </c>
      <c r="D37" s="2" t="s">
        <v>44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4">
      <c r="A38" s="1">
        <v>37</v>
      </c>
      <c r="B38" s="2" t="s">
        <v>116</v>
      </c>
      <c r="C38" s="2" t="s">
        <v>12</v>
      </c>
      <c r="D38" s="2" t="s">
        <v>64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4">
      <c r="A39" s="1">
        <v>38</v>
      </c>
      <c r="B39" s="2" t="s">
        <v>45</v>
      </c>
      <c r="C39" s="2" t="s">
        <v>12</v>
      </c>
      <c r="D39" s="2" t="s">
        <v>46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4">
      <c r="A40" s="1">
        <v>39</v>
      </c>
      <c r="B40" s="2" t="s">
        <v>45</v>
      </c>
      <c r="C40" s="2" t="s">
        <v>12</v>
      </c>
      <c r="D40" s="2" t="s">
        <v>49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4">
      <c r="A41" s="1">
        <v>40</v>
      </c>
      <c r="B41" s="2" t="s">
        <v>50</v>
      </c>
      <c r="C41" s="2" t="s">
        <v>13</v>
      </c>
      <c r="D41" s="2" t="s">
        <v>61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  <c r="N41" s="2" t="s">
        <v>67</v>
      </c>
    </row>
    <row r="42" spans="1:14">
      <c r="A42" s="1">
        <v>41</v>
      </c>
      <c r="B42" s="2" t="s">
        <v>165</v>
      </c>
      <c r="C42" s="2" t="s">
        <v>14</v>
      </c>
      <c r="D42" s="2" t="s">
        <v>51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4">
      <c r="A43" s="1">
        <v>42</v>
      </c>
      <c r="B43" s="2" t="s">
        <v>189</v>
      </c>
      <c r="C43" s="2" t="s">
        <v>12</v>
      </c>
      <c r="D43" s="2" t="s">
        <v>52</v>
      </c>
      <c r="E43" s="2"/>
      <c r="F43" s="2">
        <v>2018</v>
      </c>
      <c r="G43" s="3">
        <v>43487</v>
      </c>
      <c r="H43" s="4">
        <v>135</v>
      </c>
      <c r="I43" s="4">
        <v>652</v>
      </c>
      <c r="J43" s="4">
        <v>32.4</v>
      </c>
      <c r="K43" s="4">
        <v>15.45</v>
      </c>
      <c r="L43" s="5">
        <v>8.83</v>
      </c>
      <c r="M43" s="2"/>
    </row>
    <row r="44" spans="1:14">
      <c r="A44" s="1">
        <v>43</v>
      </c>
      <c r="B44" s="2" t="s">
        <v>127</v>
      </c>
      <c r="C44" s="2" t="s">
        <v>13</v>
      </c>
      <c r="D44" s="2" t="s">
        <v>53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4">
      <c r="A45" s="1">
        <v>44</v>
      </c>
      <c r="B45" s="2" t="s">
        <v>127</v>
      </c>
      <c r="C45" s="2" t="s">
        <v>13</v>
      </c>
      <c r="D45" s="2" t="s">
        <v>54</v>
      </c>
      <c r="E45" s="2" t="s">
        <v>55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4">
      <c r="A46" s="1">
        <v>45</v>
      </c>
      <c r="B46" s="2" t="s">
        <v>129</v>
      </c>
      <c r="C46" s="2" t="s">
        <v>14</v>
      </c>
      <c r="D46" s="2" t="s">
        <v>130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11.5</v>
      </c>
      <c r="K46" s="4">
        <v>24.5</v>
      </c>
      <c r="L46" s="5">
        <v>3.31</v>
      </c>
      <c r="M46" s="2"/>
    </row>
    <row r="47" spans="1:14">
      <c r="A47" s="1">
        <v>46</v>
      </c>
      <c r="B47" s="2" t="s">
        <v>57</v>
      </c>
      <c r="C47" s="2" t="s">
        <v>12</v>
      </c>
      <c r="D47" s="2" t="s">
        <v>58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10.6</v>
      </c>
      <c r="K47" s="4">
        <v>6.9</v>
      </c>
      <c r="L47" s="5">
        <v>3.6</v>
      </c>
      <c r="M47" s="2"/>
    </row>
    <row r="48" spans="1:14">
      <c r="A48" s="1">
        <v>47</v>
      </c>
      <c r="B48" s="2" t="s">
        <v>50</v>
      </c>
      <c r="C48" s="2" t="s">
        <v>13</v>
      </c>
      <c r="D48" s="2" t="s">
        <v>60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  <c r="N48" s="2" t="s">
        <v>67</v>
      </c>
    </row>
    <row r="49" spans="1:14">
      <c r="A49" s="1">
        <v>48</v>
      </c>
      <c r="B49" s="2" t="s">
        <v>62</v>
      </c>
      <c r="C49" s="2" t="s">
        <v>12</v>
      </c>
      <c r="D49" s="2" t="s">
        <v>63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4">
      <c r="A50" s="1">
        <v>49</v>
      </c>
      <c r="B50" s="2" t="s">
        <v>66</v>
      </c>
      <c r="C50" s="2" t="s">
        <v>12</v>
      </c>
      <c r="D50" s="2" t="s">
        <v>65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4">
      <c r="A51" s="1">
        <v>50</v>
      </c>
      <c r="B51" s="2" t="s">
        <v>69</v>
      </c>
      <c r="C51" s="2" t="s">
        <v>12</v>
      </c>
      <c r="D51" s="2" t="s">
        <v>70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4">
      <c r="A52" s="1">
        <v>51</v>
      </c>
      <c r="B52" s="2" t="s">
        <v>72</v>
      </c>
      <c r="C52" s="2" t="s">
        <v>12</v>
      </c>
      <c r="D52" s="2" t="s">
        <v>71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4">
      <c r="A53" s="1">
        <v>52</v>
      </c>
      <c r="B53" s="2" t="s">
        <v>85</v>
      </c>
      <c r="C53" s="2" t="s">
        <v>14</v>
      </c>
      <c r="D53" s="2" t="s">
        <v>86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0.38</v>
      </c>
      <c r="K53" s="4">
        <v>0.37</v>
      </c>
      <c r="L53" s="5">
        <v>3.79</v>
      </c>
      <c r="M53" s="2"/>
      <c r="N53" s="2" t="s">
        <v>67</v>
      </c>
    </row>
    <row r="54" spans="1:14">
      <c r="A54" s="1">
        <v>53</v>
      </c>
      <c r="B54" s="2" t="s">
        <v>90</v>
      </c>
      <c r="C54" s="2" t="s">
        <v>12</v>
      </c>
      <c r="D54" s="2" t="s">
        <v>89</v>
      </c>
      <c r="F54" s="2">
        <v>2017</v>
      </c>
      <c r="G54" s="7">
        <v>43478</v>
      </c>
      <c r="H54" s="4">
        <v>90.6</v>
      </c>
      <c r="I54" s="4">
        <v>136.9</v>
      </c>
      <c r="J54" s="11">
        <v>6.6144814090019564</v>
      </c>
      <c r="K54" s="4">
        <v>7.6</v>
      </c>
      <c r="L54" s="5">
        <v>1.8</v>
      </c>
    </row>
    <row r="55" spans="1:14">
      <c r="A55" s="1">
        <v>54</v>
      </c>
      <c r="B55" s="2" t="s">
        <v>91</v>
      </c>
      <c r="C55" s="2" t="s">
        <v>12</v>
      </c>
      <c r="D55" s="2" t="s">
        <v>92</v>
      </c>
      <c r="F55" s="2">
        <v>2017</v>
      </c>
      <c r="G55" s="7">
        <v>43478</v>
      </c>
      <c r="H55" s="4">
        <v>124.5</v>
      </c>
      <c r="I55" s="4">
        <v>385</v>
      </c>
      <c r="J55" s="11">
        <v>25.399608610567512</v>
      </c>
      <c r="K55" s="4">
        <v>19.3</v>
      </c>
      <c r="L55" s="5">
        <v>7.7</v>
      </c>
    </row>
    <row r="56" spans="1:14">
      <c r="A56" s="1">
        <v>55</v>
      </c>
      <c r="B56" s="2" t="s">
        <v>94</v>
      </c>
      <c r="C56" s="2" t="s">
        <v>12</v>
      </c>
      <c r="D56" s="2" t="s">
        <v>93</v>
      </c>
      <c r="F56" s="2">
        <v>2018</v>
      </c>
      <c r="G56" s="7">
        <v>43478</v>
      </c>
      <c r="H56" s="4">
        <v>119</v>
      </c>
      <c r="I56" s="4">
        <v>92.9</v>
      </c>
      <c r="J56" s="11">
        <v>11.972211350293541</v>
      </c>
      <c r="K56" s="4">
        <v>5.2</v>
      </c>
      <c r="L56" s="5">
        <v>4</v>
      </c>
    </row>
    <row r="57" spans="1:14">
      <c r="A57" s="1">
        <v>56</v>
      </c>
      <c r="B57" s="2" t="s">
        <v>95</v>
      </c>
      <c r="C57" s="2" t="s">
        <v>12</v>
      </c>
      <c r="D57" s="2" t="s">
        <v>89</v>
      </c>
      <c r="F57" s="2">
        <v>2018</v>
      </c>
      <c r="G57" s="7">
        <v>43478</v>
      </c>
      <c r="H57" s="4">
        <v>99.9</v>
      </c>
      <c r="I57" s="4">
        <v>133</v>
      </c>
      <c r="J57" s="11">
        <v>14.816438356164381</v>
      </c>
      <c r="K57" s="4">
        <v>8.1</v>
      </c>
      <c r="L57" s="5">
        <v>1.8</v>
      </c>
    </row>
    <row r="58" spans="1:14">
      <c r="A58" s="1">
        <v>57</v>
      </c>
      <c r="B58" s="2" t="s">
        <v>97</v>
      </c>
      <c r="C58" s="2" t="s">
        <v>12</v>
      </c>
      <c r="D58" s="2" t="s">
        <v>98</v>
      </c>
      <c r="F58" s="2">
        <v>2018</v>
      </c>
      <c r="G58" s="7">
        <v>43478</v>
      </c>
      <c r="H58" s="4">
        <v>123.8</v>
      </c>
      <c r="I58" s="4">
        <v>376.7</v>
      </c>
      <c r="J58" s="11">
        <v>24.672015655577294</v>
      </c>
      <c r="K58" s="4">
        <v>17.5</v>
      </c>
      <c r="L58" s="5">
        <v>5.7</v>
      </c>
    </row>
    <row r="59" spans="1:14">
      <c r="A59" s="1">
        <v>58</v>
      </c>
      <c r="B59" s="2" t="s">
        <v>96</v>
      </c>
      <c r="C59" s="2" t="s">
        <v>12</v>
      </c>
      <c r="D59" s="2" t="s">
        <v>92</v>
      </c>
      <c r="F59" s="2">
        <v>2018</v>
      </c>
      <c r="G59" s="7">
        <v>43478</v>
      </c>
      <c r="H59" s="4">
        <v>140.80000000000001</v>
      </c>
      <c r="I59" s="4">
        <v>447.7</v>
      </c>
      <c r="J59" s="11">
        <v>33.799999999999997</v>
      </c>
      <c r="K59" s="4">
        <v>23.9</v>
      </c>
      <c r="L59" s="5">
        <v>7.4</v>
      </c>
    </row>
    <row r="60" spans="1:14">
      <c r="A60" s="1">
        <v>59</v>
      </c>
      <c r="B60" s="2" t="s">
        <v>99</v>
      </c>
      <c r="C60" s="2" t="s">
        <v>12</v>
      </c>
      <c r="D60" s="2" t="s">
        <v>100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4">
      <c r="A61" s="1">
        <v>60</v>
      </c>
      <c r="B61" s="2" t="s">
        <v>101</v>
      </c>
      <c r="C61" s="2" t="s">
        <v>12</v>
      </c>
      <c r="D61" s="2" t="s">
        <v>102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4">
      <c r="A62" s="1">
        <v>61</v>
      </c>
      <c r="B62" s="2" t="s">
        <v>103</v>
      </c>
      <c r="C62" s="2" t="s">
        <v>12</v>
      </c>
      <c r="D62" s="2" t="s">
        <v>104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4">
      <c r="A63" s="1">
        <v>62</v>
      </c>
      <c r="B63" s="2" t="s">
        <v>105</v>
      </c>
      <c r="C63" s="2" t="s">
        <v>12</v>
      </c>
      <c r="D63" s="2" t="s">
        <v>106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4">
      <c r="A64" s="1">
        <v>63</v>
      </c>
      <c r="B64" s="2" t="s">
        <v>107</v>
      </c>
      <c r="C64" s="2" t="s">
        <v>12</v>
      </c>
      <c r="D64" s="2" t="s">
        <v>108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>
      <c r="A65" s="1">
        <v>64</v>
      </c>
      <c r="B65" s="2" t="s">
        <v>110</v>
      </c>
      <c r="C65" s="2" t="s">
        <v>12</v>
      </c>
      <c r="D65" s="2" t="s">
        <v>109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>
      <c r="A66" s="1">
        <v>65</v>
      </c>
      <c r="B66" s="2" t="s">
        <v>111</v>
      </c>
      <c r="C66" s="2" t="s">
        <v>12</v>
      </c>
      <c r="D66" s="2" t="s">
        <v>58</v>
      </c>
      <c r="F66" s="2">
        <v>2018</v>
      </c>
      <c r="G66" s="7">
        <v>43478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2">
      <c r="A67" s="1">
        <v>66</v>
      </c>
      <c r="B67" s="2" t="s">
        <v>112</v>
      </c>
      <c r="C67" s="2" t="s">
        <v>12</v>
      </c>
      <c r="D67" s="2" t="s">
        <v>113</v>
      </c>
      <c r="F67" s="2">
        <v>2017</v>
      </c>
      <c r="G67" s="7">
        <v>43478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>
      <c r="A68" s="1">
        <v>67</v>
      </c>
      <c r="B68" s="2" t="s">
        <v>114</v>
      </c>
      <c r="C68" s="2" t="s">
        <v>12</v>
      </c>
      <c r="D68" s="2" t="s">
        <v>118</v>
      </c>
      <c r="F68" s="2">
        <v>2018</v>
      </c>
      <c r="G68" s="7">
        <v>43478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>
      <c r="A69" s="1">
        <v>68</v>
      </c>
      <c r="B69" s="2" t="s">
        <v>119</v>
      </c>
      <c r="C69" s="2" t="s">
        <v>12</v>
      </c>
      <c r="D69" s="2" t="s">
        <v>120</v>
      </c>
      <c r="F69" s="2">
        <v>2018</v>
      </c>
      <c r="G69" s="7">
        <v>43513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2">
      <c r="A70" s="1">
        <v>69</v>
      </c>
      <c r="B70" s="2" t="s">
        <v>121</v>
      </c>
      <c r="C70" s="2" t="s">
        <v>12</v>
      </c>
      <c r="D70" s="2" t="s">
        <v>120</v>
      </c>
      <c r="F70" s="2">
        <v>2018</v>
      </c>
      <c r="G70" s="7">
        <v>43478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>
      <c r="A71" s="1">
        <v>70</v>
      </c>
      <c r="B71" s="2" t="s">
        <v>122</v>
      </c>
      <c r="C71" s="2" t="s">
        <v>14</v>
      </c>
      <c r="D71" s="2" t="s">
        <v>131</v>
      </c>
      <c r="F71" s="2">
        <v>2018</v>
      </c>
      <c r="G71" s="7">
        <v>43478</v>
      </c>
      <c r="H71" s="4">
        <v>32.4</v>
      </c>
      <c r="I71" s="4">
        <v>135.13999999999999</v>
      </c>
      <c r="J71" s="4">
        <v>0.56000000000000005</v>
      </c>
      <c r="K71" s="4">
        <v>0.47499999999999998</v>
      </c>
      <c r="L71" s="5">
        <v>5.65</v>
      </c>
    </row>
    <row r="72" spans="1:12">
      <c r="A72" s="1">
        <v>71</v>
      </c>
      <c r="B72" s="2" t="s">
        <v>123</v>
      </c>
      <c r="C72" s="2" t="s">
        <v>14</v>
      </c>
      <c r="D72" s="2" t="s">
        <v>124</v>
      </c>
      <c r="F72" s="2">
        <v>2018</v>
      </c>
      <c r="G72" s="7">
        <v>43478</v>
      </c>
      <c r="H72" s="4">
        <v>47.5</v>
      </c>
      <c r="I72" s="4">
        <v>89.6</v>
      </c>
      <c r="J72" s="4">
        <v>0.44</v>
      </c>
      <c r="K72" s="4">
        <v>0.40799999999999997</v>
      </c>
      <c r="L72" s="5">
        <v>3.3</v>
      </c>
    </row>
    <row r="73" spans="1:12">
      <c r="A73" s="1">
        <v>72</v>
      </c>
      <c r="B73" s="2" t="s">
        <v>132</v>
      </c>
      <c r="C73" s="2" t="s">
        <v>12</v>
      </c>
      <c r="D73" s="2" t="s">
        <v>80</v>
      </c>
      <c r="F73" s="2">
        <v>2017</v>
      </c>
      <c r="G73" s="7">
        <v>43480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2">
      <c r="A74" s="1">
        <v>73</v>
      </c>
      <c r="B74" s="2" t="s">
        <v>135</v>
      </c>
      <c r="C74" s="2" t="s">
        <v>12</v>
      </c>
      <c r="D74" s="2" t="s">
        <v>133</v>
      </c>
      <c r="F74" s="2">
        <v>2018</v>
      </c>
      <c r="G74" s="7">
        <v>43480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2">
      <c r="A75" s="1">
        <v>74</v>
      </c>
      <c r="B75" s="2" t="s">
        <v>136</v>
      </c>
      <c r="C75" s="2" t="s">
        <v>12</v>
      </c>
      <c r="D75" s="2" t="s">
        <v>134</v>
      </c>
      <c r="F75" s="2">
        <v>2017</v>
      </c>
      <c r="G75" s="7">
        <v>43480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2">
      <c r="A76" s="1">
        <v>75</v>
      </c>
      <c r="B76" s="2" t="s">
        <v>137</v>
      </c>
      <c r="C76" s="2" t="s">
        <v>12</v>
      </c>
      <c r="D76" s="2" t="s">
        <v>120</v>
      </c>
      <c r="F76" s="2">
        <v>2018</v>
      </c>
      <c r="G76" s="7">
        <v>43480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2">
      <c r="A77" s="1">
        <v>76</v>
      </c>
      <c r="B77" s="2" t="s">
        <v>138</v>
      </c>
      <c r="C77" s="2" t="s">
        <v>12</v>
      </c>
      <c r="D77" s="2" t="s">
        <v>139</v>
      </c>
      <c r="F77" s="2">
        <v>2018</v>
      </c>
      <c r="G77" s="7">
        <v>43480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2">
      <c r="A78" s="1">
        <v>77</v>
      </c>
      <c r="B78" s="2" t="s">
        <v>140</v>
      </c>
      <c r="C78" s="2" t="s">
        <v>12</v>
      </c>
      <c r="D78" s="2" t="s">
        <v>141</v>
      </c>
      <c r="F78" s="2">
        <v>2016</v>
      </c>
      <c r="G78" s="7">
        <v>43480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2">
      <c r="A79" s="1">
        <v>78</v>
      </c>
      <c r="B79" s="2" t="s">
        <v>142</v>
      </c>
      <c r="C79" s="2" t="s">
        <v>12</v>
      </c>
      <c r="D79" s="2" t="s">
        <v>120</v>
      </c>
      <c r="F79" s="2">
        <v>2018</v>
      </c>
      <c r="G79" s="7">
        <v>43480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2">
      <c r="A80" s="1">
        <v>79</v>
      </c>
      <c r="B80" s="2" t="s">
        <v>144</v>
      </c>
      <c r="C80" s="2" t="s">
        <v>14</v>
      </c>
      <c r="D80" s="2" t="s">
        <v>143</v>
      </c>
      <c r="F80" s="2">
        <v>2018</v>
      </c>
      <c r="G80" s="7">
        <v>43480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>
      <c r="A81" s="1">
        <v>80</v>
      </c>
      <c r="B81" s="2" t="s">
        <v>146</v>
      </c>
      <c r="C81" s="2" t="s">
        <v>12</v>
      </c>
      <c r="D81" s="2" t="s">
        <v>145</v>
      </c>
      <c r="F81" s="2">
        <v>2018</v>
      </c>
      <c r="G81" s="7">
        <v>43480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>
      <c r="A82" s="1">
        <v>81</v>
      </c>
      <c r="B82" s="2" t="s">
        <v>147</v>
      </c>
      <c r="C82" s="2" t="s">
        <v>12</v>
      </c>
      <c r="D82" s="2" t="s">
        <v>148</v>
      </c>
      <c r="F82" s="2">
        <v>2018</v>
      </c>
      <c r="G82" s="7">
        <v>43480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>
      <c r="A83" s="1">
        <v>82</v>
      </c>
      <c r="B83" s="2" t="s">
        <v>150</v>
      </c>
      <c r="C83" s="2" t="s">
        <v>12</v>
      </c>
      <c r="D83" t="s">
        <v>80</v>
      </c>
      <c r="F83" s="2">
        <v>2018</v>
      </c>
      <c r="G83" s="7">
        <v>43480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>
      <c r="A84" s="1">
        <v>83</v>
      </c>
      <c r="B84" s="2" t="s">
        <v>149</v>
      </c>
      <c r="C84" s="2" t="s">
        <v>12</v>
      </c>
      <c r="D84" s="2" t="s">
        <v>151</v>
      </c>
      <c r="F84" s="2">
        <v>2018</v>
      </c>
      <c r="G84" s="7">
        <v>43480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>
      <c r="A85" s="1">
        <v>84</v>
      </c>
      <c r="B85" s="2" t="s">
        <v>0</v>
      </c>
      <c r="C85" s="2" t="s">
        <v>12</v>
      </c>
      <c r="D85" s="2" t="s">
        <v>152</v>
      </c>
      <c r="F85" s="2">
        <v>2018</v>
      </c>
      <c r="G85" s="7">
        <v>43480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>
      <c r="A86" s="1">
        <v>85</v>
      </c>
      <c r="B86" s="2" t="s">
        <v>153</v>
      </c>
      <c r="C86" s="2" t="s">
        <v>12</v>
      </c>
      <c r="D86" s="2" t="s">
        <v>154</v>
      </c>
      <c r="F86" s="2">
        <v>2018</v>
      </c>
      <c r="G86" s="7">
        <v>43480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>
      <c r="A87" s="1">
        <v>86</v>
      </c>
      <c r="B87" s="2" t="s">
        <v>178</v>
      </c>
      <c r="C87" s="2" t="s">
        <v>13</v>
      </c>
      <c r="D87" s="2" t="s">
        <v>177</v>
      </c>
      <c r="F87" s="2">
        <v>2015</v>
      </c>
      <c r="G87" s="7">
        <v>43482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>
      <c r="A88" s="1">
        <v>87</v>
      </c>
      <c r="B88" s="2" t="s">
        <v>159</v>
      </c>
      <c r="C88" s="2" t="s">
        <v>14</v>
      </c>
      <c r="D88" s="2" t="s">
        <v>160</v>
      </c>
      <c r="F88" s="2">
        <v>2018</v>
      </c>
      <c r="G88" s="7">
        <v>43482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>
      <c r="A89" s="1">
        <v>88</v>
      </c>
      <c r="B89" s="2" t="s">
        <v>161</v>
      </c>
      <c r="C89" s="2" t="s">
        <v>14</v>
      </c>
      <c r="D89" s="2" t="s">
        <v>163</v>
      </c>
      <c r="F89" s="2">
        <v>2018</v>
      </c>
      <c r="G89" s="7">
        <v>43482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>
      <c r="A90" s="1">
        <v>89</v>
      </c>
      <c r="B90" s="2" t="s">
        <v>162</v>
      </c>
      <c r="C90" s="2" t="s">
        <v>14</v>
      </c>
      <c r="D90" s="2" t="s">
        <v>164</v>
      </c>
      <c r="F90" s="2">
        <v>2018</v>
      </c>
      <c r="G90" s="7">
        <v>43482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>
      <c r="A91" s="1">
        <v>90</v>
      </c>
      <c r="B91" s="2" t="s">
        <v>166</v>
      </c>
      <c r="C91" s="2" t="s">
        <v>14</v>
      </c>
      <c r="D91" s="2" t="s">
        <v>167</v>
      </c>
      <c r="F91" s="2">
        <v>2018</v>
      </c>
      <c r="G91" s="7">
        <v>43482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>
      <c r="A92" s="1">
        <v>91</v>
      </c>
      <c r="B92" s="2" t="s">
        <v>168</v>
      </c>
      <c r="C92" s="2" t="s">
        <v>12</v>
      </c>
      <c r="D92" s="2" t="s">
        <v>169</v>
      </c>
      <c r="F92" s="2">
        <v>2018</v>
      </c>
      <c r="G92" s="7">
        <v>43482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>
      <c r="A93" s="1">
        <v>92</v>
      </c>
      <c r="B93" s="2" t="s">
        <v>170</v>
      </c>
      <c r="C93" s="2" t="s">
        <v>12</v>
      </c>
      <c r="D93" s="2" t="s">
        <v>171</v>
      </c>
      <c r="F93" s="2">
        <v>2018</v>
      </c>
      <c r="G93" s="7">
        <v>43482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>
      <c r="A94" s="1">
        <v>93</v>
      </c>
      <c r="B94" s="8" t="s">
        <v>173</v>
      </c>
      <c r="C94" s="8" t="s">
        <v>12</v>
      </c>
      <c r="D94" s="8" t="s">
        <v>172</v>
      </c>
      <c r="E94" s="9"/>
      <c r="F94" s="8">
        <v>2018</v>
      </c>
      <c r="G94" s="7">
        <v>43482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>
      <c r="A95" s="1">
        <v>94</v>
      </c>
      <c r="B95" s="2" t="s">
        <v>174</v>
      </c>
      <c r="C95" s="2" t="s">
        <v>12</v>
      </c>
      <c r="D95" s="2" t="s">
        <v>175</v>
      </c>
      <c r="F95" s="2">
        <v>2018</v>
      </c>
      <c r="G95" s="7">
        <v>43482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>
      <c r="A96" s="1">
        <v>95</v>
      </c>
      <c r="B96" s="2" t="s">
        <v>176</v>
      </c>
      <c r="C96" s="2" t="s">
        <v>12</v>
      </c>
      <c r="D96" s="2" t="s">
        <v>59</v>
      </c>
      <c r="F96" s="2">
        <v>2018</v>
      </c>
      <c r="G96" s="7">
        <v>43482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  <row r="97" spans="1:14">
      <c r="A97" s="1">
        <v>96</v>
      </c>
      <c r="B97" s="2" t="s">
        <v>126</v>
      </c>
      <c r="C97" s="2" t="s">
        <v>13</v>
      </c>
      <c r="D97" s="2" t="s">
        <v>179</v>
      </c>
      <c r="F97" s="2">
        <v>2017</v>
      </c>
      <c r="G97" s="7">
        <v>43483</v>
      </c>
      <c r="H97" s="4">
        <v>1115</v>
      </c>
      <c r="I97" s="4">
        <v>1505</v>
      </c>
      <c r="J97" s="4">
        <v>92.6</v>
      </c>
      <c r="K97" s="4">
        <v>56.5</v>
      </c>
      <c r="L97" s="5">
        <v>8.4499999999999993</v>
      </c>
    </row>
    <row r="98" spans="1:14">
      <c r="A98" s="1">
        <v>97</v>
      </c>
      <c r="B98" s="2" t="s">
        <v>183</v>
      </c>
      <c r="C98" s="2" t="s">
        <v>12</v>
      </c>
      <c r="D98" s="2" t="s">
        <v>184</v>
      </c>
      <c r="F98" s="2">
        <v>2018</v>
      </c>
      <c r="G98" s="7">
        <v>43483</v>
      </c>
      <c r="H98" s="4">
        <v>113</v>
      </c>
      <c r="I98" s="4">
        <v>480</v>
      </c>
      <c r="J98" s="4">
        <v>5.3</v>
      </c>
      <c r="K98" s="4">
        <v>10.9</v>
      </c>
      <c r="L98" s="5">
        <v>7.1</v>
      </c>
    </row>
    <row r="99" spans="1:14">
      <c r="A99" s="1">
        <v>98</v>
      </c>
      <c r="B99" s="2" t="s">
        <v>185</v>
      </c>
      <c r="C99" s="2" t="s">
        <v>12</v>
      </c>
      <c r="D99" s="2" t="s">
        <v>186</v>
      </c>
      <c r="F99" s="2">
        <v>2015</v>
      </c>
      <c r="G99" s="7">
        <v>43483</v>
      </c>
      <c r="H99" s="4">
        <v>7.6</v>
      </c>
      <c r="I99" s="4">
        <v>97.6</v>
      </c>
      <c r="J99" s="4">
        <v>2</v>
      </c>
      <c r="K99" s="4">
        <v>6.5</v>
      </c>
      <c r="L99" s="5">
        <v>1.44</v>
      </c>
    </row>
    <row r="100" spans="1:14">
      <c r="A100" s="1">
        <v>99</v>
      </c>
      <c r="B100" s="2" t="s">
        <v>187</v>
      </c>
      <c r="C100" s="2" t="s">
        <v>12</v>
      </c>
      <c r="D100" t="s">
        <v>188</v>
      </c>
      <c r="F100" s="2">
        <v>2018</v>
      </c>
      <c r="G100" s="7">
        <v>43484</v>
      </c>
      <c r="H100" s="4">
        <v>44.3</v>
      </c>
      <c r="I100" s="4">
        <v>74</v>
      </c>
      <c r="J100" s="4">
        <v>1.9</v>
      </c>
      <c r="K100" s="4">
        <v>7.9</v>
      </c>
      <c r="L100" s="5">
        <v>3.52</v>
      </c>
    </row>
    <row r="101" spans="1:14">
      <c r="A101" s="1">
        <v>100</v>
      </c>
      <c r="B101" s="2" t="s">
        <v>190</v>
      </c>
      <c r="C101" s="2" t="s">
        <v>13</v>
      </c>
      <c r="D101" s="2" t="s">
        <v>191</v>
      </c>
      <c r="F101" s="2">
        <v>2016</v>
      </c>
      <c r="G101" s="7">
        <v>43488</v>
      </c>
      <c r="H101" s="4">
        <v>12.8</v>
      </c>
      <c r="I101" s="4">
        <v>87.8</v>
      </c>
      <c r="J101" s="4">
        <v>0.5</v>
      </c>
      <c r="K101" s="4">
        <v>21.9</v>
      </c>
      <c r="L101" s="5">
        <v>10.5</v>
      </c>
      <c r="N101" t="s">
        <v>67</v>
      </c>
    </row>
    <row r="102" spans="1:14">
      <c r="A102" s="1">
        <v>101</v>
      </c>
      <c r="B102" s="2" t="s">
        <v>192</v>
      </c>
      <c r="C102" s="2" t="s">
        <v>13</v>
      </c>
      <c r="D102" t="s">
        <v>193</v>
      </c>
      <c r="F102" s="2">
        <v>2008</v>
      </c>
      <c r="G102" s="3">
        <v>43488</v>
      </c>
      <c r="H102" s="4">
        <v>7.6</v>
      </c>
      <c r="I102" s="4">
        <v>23.8</v>
      </c>
      <c r="J102" s="4">
        <v>0.03</v>
      </c>
      <c r="K102" s="4">
        <v>28.8</v>
      </c>
      <c r="L102" s="5">
        <v>10.5</v>
      </c>
      <c r="N102" t="s">
        <v>67</v>
      </c>
    </row>
    <row r="103" spans="1:14">
      <c r="A103" s="1">
        <v>102</v>
      </c>
      <c r="B103" s="2" t="s">
        <v>195</v>
      </c>
      <c r="C103" s="2" t="s">
        <v>12</v>
      </c>
      <c r="D103" s="10" t="s">
        <v>194</v>
      </c>
      <c r="F103" s="2">
        <v>2018</v>
      </c>
      <c r="G103" s="7">
        <v>43488</v>
      </c>
      <c r="H103" s="4">
        <v>104.2</v>
      </c>
      <c r="I103" s="4">
        <v>217.5</v>
      </c>
      <c r="J103" s="4">
        <v>31.3</v>
      </c>
      <c r="K103" s="4">
        <v>8.9600000000000009</v>
      </c>
      <c r="L103" s="5">
        <v>6.9</v>
      </c>
    </row>
    <row r="104" spans="1:14">
      <c r="A104" s="1">
        <v>103</v>
      </c>
      <c r="B104" s="2" t="s">
        <v>196</v>
      </c>
      <c r="C104" s="2" t="s">
        <v>12</v>
      </c>
      <c r="D104" s="10" t="s">
        <v>197</v>
      </c>
      <c r="F104" s="2">
        <v>2016</v>
      </c>
      <c r="G104" s="7">
        <v>43488</v>
      </c>
      <c r="H104" s="4">
        <v>80</v>
      </c>
      <c r="I104" s="4">
        <v>148.80000000000001</v>
      </c>
      <c r="J104" s="4">
        <v>6.7</v>
      </c>
      <c r="K104" s="4">
        <v>8.35</v>
      </c>
      <c r="L104" s="5">
        <v>4.4000000000000004</v>
      </c>
    </row>
    <row r="105" spans="1:14">
      <c r="A105" s="1">
        <v>104</v>
      </c>
      <c r="B105" s="2" t="s">
        <v>202</v>
      </c>
      <c r="C105" s="2" t="s">
        <v>12</v>
      </c>
      <c r="D105" t="s">
        <v>198</v>
      </c>
      <c r="F105" s="2">
        <v>2015</v>
      </c>
      <c r="G105" s="7">
        <v>43488</v>
      </c>
      <c r="H105" s="4">
        <v>80</v>
      </c>
      <c r="I105" s="4">
        <v>304</v>
      </c>
      <c r="J105" s="4">
        <v>3.4</v>
      </c>
      <c r="K105" s="4">
        <v>12.5</v>
      </c>
      <c r="L105" s="5">
        <v>2.06</v>
      </c>
    </row>
    <row r="106" spans="1:14">
      <c r="A106" s="1">
        <v>105</v>
      </c>
      <c r="B106" s="2" t="s">
        <v>199</v>
      </c>
      <c r="C106" s="2" t="s">
        <v>12</v>
      </c>
      <c r="D106" t="s">
        <v>200</v>
      </c>
      <c r="F106" s="2">
        <v>2017</v>
      </c>
      <c r="G106" s="7">
        <v>43488</v>
      </c>
      <c r="H106" s="4">
        <v>34.6</v>
      </c>
      <c r="I106" s="4">
        <v>95</v>
      </c>
      <c r="J106" s="4">
        <v>3.3</v>
      </c>
      <c r="K106" s="4">
        <v>6.8</v>
      </c>
      <c r="L106" s="5">
        <v>3.1</v>
      </c>
    </row>
    <row r="110" spans="1:14">
      <c r="J110" s="4"/>
    </row>
    <row r="111" spans="1:14">
      <c r="J111" s="4"/>
    </row>
    <row r="112" spans="1:14">
      <c r="J112" s="4"/>
    </row>
    <row r="113" spans="10:10">
      <c r="J113" s="4"/>
    </row>
    <row r="114" spans="10:10">
      <c r="J114" s="4"/>
    </row>
    <row r="115" spans="10:10">
      <c r="J115" s="4"/>
    </row>
  </sheetData>
  <autoFilter ref="A1:M106" xr:uid="{00000000-0009-0000-0000-000000000000}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8"/>
  <sheetViews>
    <sheetView topLeftCell="A88" workbookViewId="0">
      <selection activeCell="E97" sqref="E97"/>
    </sheetView>
  </sheetViews>
  <sheetFormatPr baseColWidth="10" defaultColWidth="8.83203125" defaultRowHeight="16"/>
  <cols>
    <col min="1" max="1" width="54.1640625" customWidth="1"/>
    <col min="2" max="2" width="65.1640625" customWidth="1"/>
  </cols>
  <sheetData>
    <row r="1" spans="1: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>
      <c r="A22" t="str">
        <f>IF(ISBLANK(Results!M23),CONCATENATE("https://maxim-saplin.github.io/cpdt_results/?selected=",Results!A23),"")</f>
        <v/>
      </c>
      <c r="B22" t="str">
        <f t="shared" si="0"/>
        <v/>
      </c>
    </row>
    <row r="23" spans="1: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>
      <c r="A42" t="str">
        <f>IF(ISBLANK(Results!M43),CONCATENATE("https://maxim-saplin.github.io/cpdt_results/?selected=",Results!A43),"")</f>
        <v>https://maxim-saplin.github.io/cpdt_results/?selected=42</v>
      </c>
      <c r="B42" t="str">
        <f t="shared" si="0"/>
        <v>https://maxim-saplin.github.io/cpdt_results/?selected=42&amp;lang=ru</v>
      </c>
    </row>
    <row r="43" spans="1: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>
      <c r="A52" t="str">
        <f>IF(ISBLANK(Results!M53),CONCATENATE("https://maxim-saplin.github.io/cpdt_results/?selected=",Results!A53),"")</f>
        <v>https://maxim-saplin.github.io/cpdt_results/?selected=52</v>
      </c>
      <c r="B52" t="str">
        <f t="shared" si="0"/>
        <v>https://maxim-saplin.github.io/cpdt_results/?selected=52&amp;lang=ru</v>
      </c>
    </row>
    <row r="53" spans="1:2">
      <c r="A53" t="str">
        <f>IF(ISBLANK(Results!M54),CONCATENATE("https://maxim-saplin.github.io/cpdt_results/?selected=",Results!A54),"")</f>
        <v>https://maxim-saplin.github.io/cpdt_results/?selected=53</v>
      </c>
      <c r="B53" t="str">
        <f t="shared" si="0"/>
        <v>https://maxim-saplin.github.io/cpdt_results/?selected=53&amp;lang=ru</v>
      </c>
    </row>
    <row r="54" spans="1:2">
      <c r="A54" t="str">
        <f>IF(ISBLANK(Results!M55),CONCATENATE("https://maxim-saplin.github.io/cpdt_results/?selected=",Results!A55),"")</f>
        <v>https://maxim-saplin.github.io/cpdt_results/?selected=54</v>
      </c>
      <c r="B54" t="str">
        <f t="shared" si="0"/>
        <v>https://maxim-saplin.github.io/cpdt_results/?selected=54&amp;lang=ru</v>
      </c>
    </row>
    <row r="55" spans="1:2">
      <c r="A55" t="str">
        <f>IF(ISBLANK(Results!M56),CONCATENATE("https://maxim-saplin.github.io/cpdt_results/?selected=",Results!A56),"")</f>
        <v>https://maxim-saplin.github.io/cpdt_results/?selected=55</v>
      </c>
      <c r="B55" t="str">
        <f t="shared" si="0"/>
        <v>https://maxim-saplin.github.io/cpdt_results/?selected=55&amp;lang=ru</v>
      </c>
    </row>
    <row r="56" spans="1:2">
      <c r="A56" t="str">
        <f>IF(ISBLANK(Results!M57),CONCATENATE("https://maxim-saplin.github.io/cpdt_results/?selected=",Results!A57),"")</f>
        <v>https://maxim-saplin.github.io/cpdt_results/?selected=56</v>
      </c>
      <c r="B56" t="str">
        <f t="shared" si="0"/>
        <v>https://maxim-saplin.github.io/cpdt_results/?selected=56&amp;lang=ru</v>
      </c>
    </row>
    <row r="57" spans="1:2">
      <c r="A57" t="str">
        <f>IF(ISBLANK(Results!M58),CONCATENATE("https://maxim-saplin.github.io/cpdt_results/?selected=",Results!A58),"")</f>
        <v>https://maxim-saplin.github.io/cpdt_results/?selected=57</v>
      </c>
      <c r="B57" t="str">
        <f t="shared" si="0"/>
        <v>https://maxim-saplin.github.io/cpdt_results/?selected=57&amp;lang=ru</v>
      </c>
    </row>
    <row r="58" spans="1:2">
      <c r="A58" t="str">
        <f>IF(ISBLANK(Results!M59),CONCATENATE("https://maxim-saplin.github.io/cpdt_results/?selected=",Results!A59),"")</f>
        <v>https://maxim-saplin.github.io/cpdt_results/?selected=58</v>
      </c>
      <c r="B58" t="str">
        <f t="shared" si="0"/>
        <v>https://maxim-saplin.github.io/cpdt_results/?selected=58&amp;lang=ru</v>
      </c>
    </row>
    <row r="59" spans="1: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>
      <c r="A70" t="str">
        <f>IF(ISBLANK(Results!M71),CONCATENATE("https://maxim-saplin.github.io/cpdt_results/?selected=",Results!A71),"")</f>
        <v>https://maxim-saplin.github.io/cpdt_results/?selected=70</v>
      </c>
      <c r="B70" t="str">
        <f t="shared" si="1"/>
        <v>https://maxim-saplin.github.io/cpdt_results/?selected=70&amp;lang=ru</v>
      </c>
    </row>
    <row r="71" spans="1:2">
      <c r="A71" t="str">
        <f>IF(ISBLANK(Results!M72),CONCATENATE("https://maxim-saplin.github.io/cpdt_results/?selected=",Results!A72),"")</f>
        <v>https://maxim-saplin.github.io/cpdt_results/?selected=71</v>
      </c>
      <c r="B71" t="str">
        <f t="shared" si="1"/>
        <v>https://maxim-saplin.github.io/cpdt_results/?selected=71&amp;lang=ru</v>
      </c>
    </row>
    <row r="72" spans="1: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  <row r="96" spans="1:2">
      <c r="A96" t="str">
        <f>IF(ISBLANK(Results!M97),CONCATENATE("https://maxim-saplin.github.io/cpdt_results/?selected=",Results!A97),"")</f>
        <v>https://maxim-saplin.github.io/cpdt_results/?selected=96</v>
      </c>
      <c r="B96" t="str">
        <f t="shared" ref="B96:B106" si="2">IF(A96="","",CONCATENATE(A96,"&amp;lang=ru"))</f>
        <v>https://maxim-saplin.github.io/cpdt_results/?selected=96&amp;lang=ru</v>
      </c>
    </row>
    <row r="97" spans="1:2">
      <c r="A97" t="str">
        <f>IF(ISBLANK(Results!M98),CONCATENATE("https://maxim-saplin.github.io/cpdt_results/?selected=",Results!A98),"")</f>
        <v>https://maxim-saplin.github.io/cpdt_results/?selected=97</v>
      </c>
      <c r="B97" t="str">
        <f t="shared" si="2"/>
        <v>https://maxim-saplin.github.io/cpdt_results/?selected=97&amp;lang=ru</v>
      </c>
    </row>
    <row r="98" spans="1:2">
      <c r="A98" t="str">
        <f>IF(ISBLANK(Results!M99),CONCATENATE("https://maxim-saplin.github.io/cpdt_results/?selected=",Results!A99),"")</f>
        <v>https://maxim-saplin.github.io/cpdt_results/?selected=98</v>
      </c>
      <c r="B98" t="str">
        <f t="shared" si="2"/>
        <v>https://maxim-saplin.github.io/cpdt_results/?selected=98&amp;lang=ru</v>
      </c>
    </row>
    <row r="99" spans="1:2">
      <c r="A99" t="str">
        <f>IF(ISBLANK(Results!M100),CONCATENATE("https://maxim-saplin.github.io/cpdt_results/?selected=",Results!A100),"")</f>
        <v>https://maxim-saplin.github.io/cpdt_results/?selected=99</v>
      </c>
      <c r="B99" t="str">
        <f t="shared" si="2"/>
        <v>https://maxim-saplin.github.io/cpdt_results/?selected=99&amp;lang=ru</v>
      </c>
    </row>
    <row r="100" spans="1:2">
      <c r="A100" t="str">
        <f>IF(ISBLANK(Results!M101),CONCATENATE("https://maxim-saplin.github.io/cpdt_results/?selected=",Results!A101),"")</f>
        <v>https://maxim-saplin.github.io/cpdt_results/?selected=100</v>
      </c>
      <c r="B100" t="str">
        <f t="shared" si="2"/>
        <v>https://maxim-saplin.github.io/cpdt_results/?selected=100&amp;lang=ru</v>
      </c>
    </row>
    <row r="101" spans="1:2">
      <c r="A101" t="str">
        <f>IF(ISBLANK(Results!M102),CONCATENATE("https://maxim-saplin.github.io/cpdt_results/?selected=",Results!A102),"")</f>
        <v>https://maxim-saplin.github.io/cpdt_results/?selected=101</v>
      </c>
      <c r="B101" t="str">
        <f t="shared" si="2"/>
        <v>https://maxim-saplin.github.io/cpdt_results/?selected=101&amp;lang=ru</v>
      </c>
    </row>
    <row r="102" spans="1:2">
      <c r="A102" t="str">
        <f>IF(ISBLANK(Results!M103),CONCATENATE("https://maxim-saplin.github.io/cpdt_results/?selected=",Results!A103),"")</f>
        <v>https://maxim-saplin.github.io/cpdt_results/?selected=102</v>
      </c>
      <c r="B102" t="str">
        <f t="shared" si="2"/>
        <v>https://maxim-saplin.github.io/cpdt_results/?selected=102&amp;lang=ru</v>
      </c>
    </row>
    <row r="103" spans="1:2">
      <c r="A103" t="str">
        <f>IF(ISBLANK(Results!M104),CONCATENATE("https://maxim-saplin.github.io/cpdt_results/?selected=",Results!A104),"")</f>
        <v>https://maxim-saplin.github.io/cpdt_results/?selected=103</v>
      </c>
      <c r="B103" t="str">
        <f t="shared" si="2"/>
        <v>https://maxim-saplin.github.io/cpdt_results/?selected=103&amp;lang=ru</v>
      </c>
    </row>
    <row r="104" spans="1:2">
      <c r="A104" t="str">
        <f>IF(ISBLANK(Results!M105),CONCATENATE("https://maxim-saplin.github.io/cpdt_results/?selected=",Results!A105),"")</f>
        <v>https://maxim-saplin.github.io/cpdt_results/?selected=104</v>
      </c>
      <c r="B104" t="str">
        <f t="shared" si="2"/>
        <v>https://maxim-saplin.github.io/cpdt_results/?selected=104&amp;lang=ru</v>
      </c>
    </row>
    <row r="105" spans="1:2">
      <c r="A105" t="str">
        <f>IF(ISBLANK(Results!M106),CONCATENATE("https://maxim-saplin.github.io/cpdt_results/?selected=",Results!A106),"")</f>
        <v>https://maxim-saplin.github.io/cpdt_results/?selected=105</v>
      </c>
      <c r="B105" t="str">
        <f t="shared" si="2"/>
        <v>https://maxim-saplin.github.io/cpdt_results/?selected=105&amp;lang=ru</v>
      </c>
    </row>
    <row r="106" spans="1:2">
      <c r="A106" t="str">
        <f>IF(ISBLANK(Results!M107),CONCATENATE("https://maxim-saplin.github.io/cpdt_results/?selected=",Results!A107),"")</f>
        <v>https://maxim-saplin.github.io/cpdt_results/?selected=</v>
      </c>
      <c r="B106" t="str">
        <f t="shared" si="2"/>
        <v>https://maxim-saplin.github.io/cpdt_results/?selected=&amp;lang=ru</v>
      </c>
    </row>
    <row r="107" spans="1:2">
      <c r="A107" t="str">
        <f>IF(ISBLANK(Results!M108),CONCATENATE("https://maxim-saplin.github.io/cpdt_results/?selected=",Results!A108),"")</f>
        <v>https://maxim-saplin.github.io/cpdt_results/?selected=</v>
      </c>
      <c r="B107" t="str">
        <f t="shared" ref="B107:B108" si="3">IF(A107="","",CONCATENATE(A107,"&amp;lang=ru"))</f>
        <v>https://maxim-saplin.github.io/cpdt_results/?selected=&amp;lang=ru</v>
      </c>
    </row>
    <row r="108" spans="1:2">
      <c r="A108" t="str">
        <f>IF(ISBLANK(Results!M109),CONCATENATE("https://maxim-saplin.github.io/cpdt_results/?selected=",Results!A109),"")</f>
        <v>https://maxim-saplin.github.io/cpdt_results/?selected=</v>
      </c>
      <c r="B108" t="str">
        <f t="shared" si="3"/>
        <v>https://maxim-saplin.github.io/cpdt_results/?selected=&amp;lang=ru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2019-01-27T16:54:06Z</dcterms:modified>
</cp:coreProperties>
</file>