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C2AF9D45-9CD6-ED4A-B50D-B09A31E0FC35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Results" sheetId="1" r:id="rId1"/>
    <sheet name="URLs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" i="1" l="1"/>
  <c r="K41" i="1"/>
  <c r="J41" i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  <c r="J28" i="1" l="1"/>
  <c r="K18" i="1" l="1"/>
  <c r="J18" i="1"/>
  <c r="J7" i="1" l="1"/>
</calcChain>
</file>

<file path=xl/sharedStrings.xml><?xml version="1.0" encoding="utf-8"?>
<sst xmlns="http://schemas.openxmlformats.org/spreadsheetml/2006/main" count="138" uniqueCount="84">
  <si>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</si>
  <si>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</si>
  <si>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</si>
  <si>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</si>
  <si>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</si>
  <si>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</si>
  <si>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</si>
  <si>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</si>
  <si>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</si>
  <si>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</si>
  <si>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</si>
  <si>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</si>
  <si>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</si>
  <si>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</si>
  <si>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</si>
  <si>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</si>
  <si>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</si>
  <si>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</si>
  <si>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</si>
  <si>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</si>
  <si>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</si>
  <si>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</si>
  <si>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</si>
  <si>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</si>
  <si>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</si>
  <si>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</si>
  <si>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</si>
  <si>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</si>
  <si>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</si>
  <si>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</si>
  <si>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</si>
  <si>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</si>
  <si>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</si>
  <si>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</si>
  <si>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</si>
  <si>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</si>
  <si>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</si>
  <si>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</si>
  <si>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</si>
  <si>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</si>
  <si>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</si>
  <si>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</si>
  <si>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</si>
  <si>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</si>
  <si>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</si>
  <si>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</si>
  <si>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</si>
  <si>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</si>
  <si>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</si>
  <si>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</si>
  <si>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</si>
  <si>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</si>
  <si>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</si>
  <si>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</si>
  <si>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</si>
  <si>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</si>
  <si>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</si>
  <si>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</si>
  <si>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</si>
  <si>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</si>
  <si>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</si>
  <si>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</si>
  <si>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</si>
  <si>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</si>
  <si>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</si>
  <si>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</si>
  <si>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</si>
  <si>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</si>
  <si>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</si>
  <si>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</si>
  <si>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</si>
  <si>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</si>
  <si>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</si>
  <si>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</si>
  <si>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</si>
  <si>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</si>
  <si>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</si>
  <si>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</si>
  <si>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1TB/5400RPM, USB 3.1</t>
  </si>
  <si>
    <t>Seagate Expansion HDD</t>
  </si>
  <si>
    <t xml:space="preserve">Huawei Mate book X Pro </t>
  </si>
  <si>
    <t>256GB, 8GB RAM, Core i5-8250U</t>
  </si>
  <si>
    <t>Huawei Mate 20</t>
  </si>
  <si>
    <t>Kirin 980, 6/128GB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</si>
</sst>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43"/>
  <sheetViews>
    <sheetView tabSelected="1" zoomScaleNormal="100" workbookViewId="0">
      <pane ySplit="1" topLeftCell="A15" activePane="bottomLeft" state="frozen"/>
      <selection pane="bottomLeft" activeCell="L44" sqref="L44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">
      <c r="A2" s="1">
        <v>1</v>
      </c>
      <c r="B2" t="s">
        <v>0</v>
      </c>
      <c r="C2" t="s">
        <v>14</v>
      </c>
      <c r="D2" t="s">
        <v>75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">
      <c r="A3" s="1">
        <v>2</v>
      </c>
      <c r="B3" t="s">
        <v>1</v>
      </c>
      <c r="C3" t="s">
        <v>14</v>
      </c>
      <c r="D3" t="s">
        <v>51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17</v>
      </c>
      <c r="C5" t="s">
        <v>15</v>
      </c>
      <c r="D5" t="s">
        <v>42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 s="1">
        <v>5</v>
      </c>
      <c r="B6" t="s">
        <v>17</v>
      </c>
      <c r="C6" t="s">
        <v>15</v>
      </c>
      <c r="D6" t="s">
        <v>77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 s="1">
        <v>6</v>
      </c>
      <c r="B7" t="s">
        <v>17</v>
      </c>
      <c r="C7" t="s">
        <v>16</v>
      </c>
      <c r="D7" t="s">
        <v>43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17</v>
      </c>
      <c r="C8" t="s">
        <v>16</v>
      </c>
      <c r="D8" t="s">
        <v>44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64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">
      <c r="A11" s="1">
        <v>10</v>
      </c>
      <c r="B11" t="s">
        <v>34</v>
      </c>
      <c r="C11" t="s">
        <v>14</v>
      </c>
      <c r="D11" t="s">
        <v>68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65</v>
      </c>
      <c r="C17" t="s">
        <v>16</v>
      </c>
      <c r="D17" t="s">
        <v>60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32</v>
      </c>
      <c r="C18" t="s">
        <v>16</v>
      </c>
      <c r="D18" t="s">
        <v>59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63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37</v>
      </c>
      <c r="C21" t="s">
        <v>14</v>
      </c>
      <c r="D21" t="s">
        <v>39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38</v>
      </c>
      <c r="C22" t="s">
        <v>14</v>
      </c>
      <c r="D22" t="s">
        <v>40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38</v>
      </c>
      <c r="C23" t="s">
        <v>14</v>
      </c>
      <c r="D23" t="s">
        <v>41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17</v>
      </c>
      <c r="C24" t="s">
        <v>15</v>
      </c>
      <c r="D24" t="s">
        <v>45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17</v>
      </c>
      <c r="C25" t="s">
        <v>15</v>
      </c>
      <c r="D25" t="s">
        <v>46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47</v>
      </c>
      <c r="C26" t="s">
        <v>15</v>
      </c>
      <c r="D26" t="s">
        <v>48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49</v>
      </c>
      <c r="C27" t="s">
        <v>14</v>
      </c>
      <c r="D27" t="s">
        <v>50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52</v>
      </c>
      <c r="C28" t="s">
        <v>16</v>
      </c>
      <c r="D28" t="s">
        <v>53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52</v>
      </c>
      <c r="C29" t="s">
        <v>16</v>
      </c>
      <c r="D29" t="s">
        <v>54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55</v>
      </c>
      <c r="C30" t="s">
        <v>14</v>
      </c>
      <c r="D30" t="s">
        <v>56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57</v>
      </c>
      <c r="C31" t="s">
        <v>16</v>
      </c>
      <c r="D31" t="s">
        <v>58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61</v>
      </c>
      <c r="C32" t="s">
        <v>16</v>
      </c>
      <c r="D32" t="s">
        <v>62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14</v>
      </c>
      <c r="D33" t="s">
        <v>74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t="s">
        <v>66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66</v>
      </c>
      <c r="C35" t="s">
        <v>14</v>
      </c>
      <c r="D35" t="s">
        <v>67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">
      <c r="A36" s="1">
        <v>35</v>
      </c>
      <c r="B36" t="s">
        <v>34</v>
      </c>
      <c r="C36" t="s">
        <v>14</v>
      </c>
      <c r="D36" t="s">
        <v>73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t="s">
        <v>34</v>
      </c>
      <c r="C37" t="s">
        <v>14</v>
      </c>
      <c r="D37" t="s">
        <v>69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t="s">
        <v>34</v>
      </c>
      <c r="C38" t="s">
        <v>14</v>
      </c>
      <c r="D38" t="s">
        <v>72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t="s">
        <v>70</v>
      </c>
      <c r="C39" t="s">
        <v>14</v>
      </c>
      <c r="D39" t="s">
        <v>71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t="s">
        <v>70</v>
      </c>
      <c r="C40" t="s">
        <v>14</v>
      </c>
      <c r="D40" t="s">
        <v>76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">
      <c r="A41" s="1">
        <v>40</v>
      </c>
      <c r="B41" t="s">
        <v>79</v>
      </c>
      <c r="C41" t="s">
        <v>15</v>
      </c>
      <c r="D41" t="s">
        <v>78</v>
      </c>
      <c r="F41">
        <v>2015</v>
      </c>
      <c r="G41" s="2">
        <v>43458</v>
      </c>
      <c r="H41" s="4">
        <v>77</v>
      </c>
      <c r="I41" s="4">
        <v>80.8</v>
      </c>
      <c r="J41" s="4">
        <f>990/1024</f>
        <v>0.966796875</v>
      </c>
      <c r="K41" s="4">
        <f>1012/1024</f>
        <v>0.98828125</v>
      </c>
      <c r="L41" s="3">
        <v>10.3</v>
      </c>
    </row>
    <row r="42" spans="1:12" x14ac:dyDescent="0.2">
      <c r="A42" s="1">
        <v>41</v>
      </c>
      <c r="B42" t="s">
        <v>80</v>
      </c>
      <c r="C42" t="s">
        <v>16</v>
      </c>
      <c r="D42" t="s">
        <v>81</v>
      </c>
      <c r="F42">
        <v>2018</v>
      </c>
      <c r="G42" s="2">
        <v>43458</v>
      </c>
      <c r="H42" s="4">
        <v>523</v>
      </c>
      <c r="I42" s="4">
        <f>2.26*1024</f>
        <v>2314.2399999999998</v>
      </c>
      <c r="J42" s="4">
        <v>4.26</v>
      </c>
      <c r="K42" s="4">
        <v>42</v>
      </c>
      <c r="L42" s="3">
        <v>7.78</v>
      </c>
    </row>
    <row r="43" spans="1:12" x14ac:dyDescent="0.2">
      <c r="A43" s="1">
        <v>42</v>
      </c>
      <c r="B43" t="s">
        <v>82</v>
      </c>
      <c r="C43" t="s">
        <v>14</v>
      </c>
      <c r="D43" t="s">
        <v>83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18.45</v>
      </c>
      <c r="L43" s="3">
        <v>8.83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</v>
      </c>
    </row>
    <row r="44" spans="1:1" x14ac:dyDescent="0.2">
      <c r="A44" t="str">
        <f>CONCATENATE("https://maxim-saplin.github.io/cpdt_results/?selected=",Results!A45)</f>
        <v>https://maxim-saplin.github.io/cpdt_results/?selected=</v>
      </c>
    </row>
    <row r="45" spans="1:1" x14ac:dyDescent="0.2">
      <c r="A45" t="str">
        <f>CONCATENATE("https://maxim-saplin.github.io/cpdt_results/?selected=",Results!A46)</f>
        <v>https://maxim-saplin.github.io/cpdt_results/?selected=</v>
      </c>
    </row>
    <row r="46" spans="1:1" x14ac:dyDescent="0.2">
      <c r="A46" t="str">
        <f>CONCATENATE("https://maxim-saplin.github.io/cpdt_results/?selected=",Results!A47)</f>
        <v>https://maxim-saplin.github.io/cpdt_results/?selected=</v>
      </c>
    </row>
    <row r="47" spans="1:1" x14ac:dyDescent="0.2">
      <c r="A47" t="str">
        <f>CONCATENATE("https://maxim-saplin.github.io/cpdt_results/?selected=",Results!A48)</f>
        <v>https://maxim-saplin.github.io/cpdt_results/?selected=</v>
      </c>
    </row>
    <row r="48" spans="1:1" x14ac:dyDescent="0.2">
      <c r="A48" t="str">
        <f>CONCATENATE("https://maxim-saplin.github.io/cpdt_results/?selected=",Results!A49)</f>
        <v>https://maxim-saplin.github.io/cpdt_results/?selected=</v>
      </c>
    </row>
    <row r="49" spans="1:1" x14ac:dyDescent="0.2">
      <c r="A49" t="str">
        <f>CONCATENATE("https://maxim-saplin.github.io/cpdt_results/?selected=",Results!A50)</f>
        <v>https://maxim-saplin.github.io/cpdt_results/?selected=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2018-12-25T19:58:10Z</dcterms:modified>
</cp:coreProperties>
</file>