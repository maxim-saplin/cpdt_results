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ED4CAE94-95B3-8A43-88DE-0D5E59B24430}" xr6:coauthVersionLast="37" xr6:coauthVersionMax="37" xr10:uidLastSave="{00000000-0000-0000-0000-000000000000}"/>
  <bookViews>
    <workbookView xWindow="10040" yWindow="2520" windowWidth="22300" windowHeight="17860" xr2:uid="{00000000-000D-0000-FFFF-FFFF00000000}"/>
  </bookViews>
  <sheets>
    <sheet name="Results" sheetId="1" r:id="rId1"/>
    <sheet name="URLs" sheetId="2" r:id="rId2"/>
  </sheets>
  <definedNames>
    <definedName name="_xlnm._FilterDatabase" localSheetId="0" hidden="1">Results!$A$1:$M$53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1" i="2"/>
</calcChain>
</file>

<file path=xl/sharedStrings.xml><?xml version="1.0" encoding="utf-8"?>
<sst xmlns="http://schemas.openxmlformats.org/spreadsheetml/2006/main" count="229" uniqueCount="140">
  <si>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</si>
  <si>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</si>
  <si>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</si>
  <si>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</si>
  <si>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</si>
  <si>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</si>
  <si>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</si>
  <si>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</si>
  <si>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</si>
  <si>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</si>
  <si>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</si>
  <si>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</si>
  <si>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Android</t>
  </si>
  <si>
    <t>macOS</t>
  </si>
  <si>
    <t>Windows</t>
  </si>
  <si>
    <t>15\" MacBook Pro</t>
  </si>
  <si>
    <t>id</t>
  </si>
  <si>
    <t>platform</t>
  </si>
  <si>
    <t>Meizu 16th</t>
  </si>
  <si>
    <t>Nokia N1</t>
  </si>
  <si>
    <t>Google Pixel 2</t>
  </si>
  <si>
    <t>Snapdragon 835, 64GB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</si>
  <si>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</si>
  <si>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</si>
  <si>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</si>
  <si>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</si>
  <si>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</si>
  <si>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</si>
  <si>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Exynos 5433, 32GB</t>
  </si>
  <si>
    <t>Snapdragon 801, 16GB</t>
  </si>
  <si>
    <t>Xiaomi Redmi Note 4</t>
  </si>
  <si>
    <t>Xiaomi Redmi 4 Pro/Prime</t>
  </si>
  <si>
    <t>Snapdragon 625, 32GB, 10GB free</t>
  </si>
  <si>
    <t>Snapdragon 625, 32GB, 2GB free</t>
  </si>
  <si>
    <t>Early, 512GB, APFS</t>
  </si>
  <si>
    <t>Mid, 256GB, APFS</t>
  </si>
  <si>
    <t>13\" MacBook Pro</t>
  </si>
  <si>
    <t>128GB, APFS</t>
  </si>
  <si>
    <t>Samsung Galaxy Note 9</t>
  </si>
  <si>
    <t>Exynos 9810, 128GB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</si>
  <si>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</si>
  <si>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</si>
  <si>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</si>
  <si>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</si>
  <si>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</si>
  <si>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Samsung Galaxy S5</t>
  </si>
  <si>
    <t>Samsung Galaxy S7</t>
  </si>
  <si>
    <t>Samsung Galaxy S8</t>
  </si>
  <si>
    <t>Exynos 8895, 64GB</t>
  </si>
  <si>
    <t>Snapdragon 820, 32GB, encrypted, LineageOS 15.1</t>
  </si>
  <si>
    <t>Xiaomi Mi Max</t>
  </si>
  <si>
    <t>Snapdragon 650, 32GB, not-encrypted</t>
  </si>
  <si>
    <t>Snapdragon 820, 32GB, not-encrypted, LineageOS 15.1</t>
  </si>
  <si>
    <t>Snapdragon 710, 64GB, not-encrypted</t>
  </si>
  <si>
    <t>Snapdragon 650, 32GB, encrypted</t>
  </si>
  <si>
    <t>512GB, NTFS partition (Tuxera NTFS 2018)</t>
  </si>
  <si>
    <t>Seagate Expansion HDD</t>
  </si>
  <si>
    <t>256GB, 8GB RAM, Core i5-8250U</t>
  </si>
  <si>
    <t>Huawei Mate 20</t>
  </si>
  <si>
    <t>Kirin 980, 6/128GB</t>
  </si>
  <si>
    <t>512GB, APFS partition</t>
  </si>
  <si>
    <t>512GB, Windows 10 Bootcamp, NTFS partition</t>
  </si>
  <si>
    <t>512GB, Windows 10 VMWare Fusion, NTFS virtual disk</t>
  </si>
  <si>
    <t>512GB, NTFS partition (Paragon NTFS for Mac 15.4.44)</t>
  </si>
  <si>
    <t>512GB, NTFS partition (ntfs-3g + OSXFUSE)</t>
  </si>
  <si>
    <t>Although random speeds within one file are high, file operations (creating/copying files) are noticably slow</t>
  </si>
  <si>
    <t>Installing side-by-sde trial of Paragon NTFS trial version and disbling/dismounting it's drive and enabling/mounting Tuxera partition showed performance improvements with Tuxera. I.e. Tuxera showed same performance as Paragaon, suspicion is that Paragon upgraded MacFuse drivers for better ones</t>
  </si>
  <si>
    <t>512GB,  Intel Core M-5Y71</t>
  </si>
  <si>
    <t>Xiaomi Redmi Note 5</t>
  </si>
  <si>
    <t>Snapdragon 636, 3/32GB</t>
  </si>
  <si>
    <t>Snapdragon 625, 3/32GB</t>
  </si>
  <si>
    <t>USB 2.0, 1TB/5400RPM</t>
  </si>
  <si>
    <t>USB 3.0, 1TB/5400RPM</t>
  </si>
  <si>
    <t>Xiaomi Mi Note</t>
  </si>
  <si>
    <t>Snapdragon 801, 3/16GB</t>
  </si>
  <si>
    <t>Snapdragon 820, 32GB, not-encrypted high-perf. mode, LineageOS 15.1</t>
  </si>
  <si>
    <t>Snapdragon 425, 2/16GB</t>
  </si>
  <si>
    <t>Huawei Y6 Prime</t>
  </si>
  <si>
    <t>true</t>
  </si>
  <si>
    <t>hidden</t>
  </si>
  <si>
    <t>Galaxy Tab E</t>
  </si>
  <si>
    <t>Spreadtrum SC7730, 1.5/8GB</t>
  </si>
  <si>
    <t>MediaTek MT8735, 1/8GB</t>
  </si>
  <si>
    <t>Philips E Line TLE821L</t>
  </si>
  <si>
    <t>256GB, Core i5-4460 workstation</t>
  </si>
  <si>
    <t>256GB, Core i5-6500</t>
  </si>
  <si>
    <t>Samsung 850 EVO SSD</t>
  </si>
  <si>
    <t>Snapdragon 845, 8/128GB</t>
  </si>
  <si>
    <t>Exynos 8890, 4/32GB</t>
  </si>
  <si>
    <t>Snapdragon 820, 3/32GB, MIUI9 (7.0)</t>
  </si>
  <si>
    <t>Intel Z3580, 2/32GB</t>
  </si>
  <si>
    <t>Snapdragon 835, 4/64GB</t>
  </si>
  <si>
    <t>Snapdragon 835, 4/128GB</t>
  </si>
  <si>
    <t>Exynos 9810, 4/64GB</t>
  </si>
  <si>
    <t>Snapdragon 710, 4/64GB, encrypted</t>
  </si>
  <si>
    <t>Gen 2, 256GB, Core i5-7200U</t>
  </si>
  <si>
    <t>Hitachi Travelstar HDD</t>
  </si>
  <si>
    <t>250GB, 5400RPM, Core i5-3337U</t>
  </si>
  <si>
    <t xml:space="preserve">Lenovo ThinkPad 13, Intel 600p SSD </t>
  </si>
  <si>
    <t>Dell OptiPlex 24 7440, SK Hynix PC300 SSD</t>
  </si>
  <si>
    <t>Lenovo Yoga 3 Pro, Samsung PM851 SSD</t>
  </si>
  <si>
    <t xml:space="preserve">Huawei Matebook X Pro </t>
  </si>
  <si>
    <t>HiSilicon Kirin 659, 4/64GB</t>
  </si>
  <si>
    <t>Huawei Mate 10 Lite</t>
  </si>
  <si>
    <t>Huawei Mate 10 Pro</t>
  </si>
  <si>
    <t>HiSilicon Kirin 970, 6/128GB</t>
  </si>
  <si>
    <t>HiSilicon Kirin 710, 4/64GB</t>
  </si>
  <si>
    <t>Huawei Mate 20 Lite</t>
  </si>
  <si>
    <t>Huawei P20 Lite</t>
  </si>
  <si>
    <t>Huawei P20 Pro</t>
  </si>
  <si>
    <t>Huawei P20</t>
  </si>
  <si>
    <t>HiSilicon Kirin 970, 4/128GB</t>
  </si>
  <si>
    <t>Samsung Galaxy A7</t>
  </si>
  <si>
    <t>Exynos 7885, 6/64GB</t>
  </si>
  <si>
    <t>Samsung Galaxy A8</t>
  </si>
  <si>
    <t>Exynos 7885, 4/32GB</t>
  </si>
  <si>
    <t>Samsung Galaxy Note 8</t>
  </si>
  <si>
    <t>Exynos 8895, 6/64GB</t>
  </si>
  <si>
    <t>Vivo V11i</t>
  </si>
  <si>
    <t>Mediatek MT6771 Helio P60, 4/128GB</t>
  </si>
  <si>
    <t>ZTE Blade V7 Lite</t>
  </si>
  <si>
    <t>Mediatek MT6735P, 2/16GB</t>
  </si>
  <si>
    <t>Snapdragon 835, 8/128GB</t>
  </si>
  <si>
    <t>OnePlus 5T</t>
  </si>
  <si>
    <t>Xiaomi Redmi Note 6 Pro</t>
  </si>
  <si>
    <t>Xiaomi Mi Mix 2</t>
  </si>
  <si>
    <t>Snapdragon 835, 6/64GB</t>
  </si>
  <si>
    <t>Xiaomi Mi 8 Lite</t>
  </si>
  <si>
    <t>Xiaomi Mi 8 SE</t>
  </si>
  <si>
    <t>Xiaomi Mi 5</t>
  </si>
  <si>
    <t>Xiaomi Mi 6</t>
  </si>
  <si>
    <t>Snapdragon 660, 4/64GB</t>
  </si>
  <si>
    <t>Xiaomi Mi 8</t>
  </si>
  <si>
    <t>Snapdragon 845, 6/64GB</t>
  </si>
  <si>
    <t>Xiaomi Pocophone F1</t>
  </si>
  <si>
    <t xml:space="preserve"> 1TB 7200 rpm, 8GB, Core i5 8300H</t>
  </si>
  <si>
    <t>HP Omen 15-dc0054ur, HDD</t>
  </si>
  <si>
    <t>Asus X507UB, HDD</t>
  </si>
  <si>
    <t>1TB HDD 5400RPM, 4GB, Core i36006U</t>
  </si>
  <si>
    <t>500GB 7200RPM, Core i5-4460 workstation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</si>
</sst>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3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/>
    <xf numFmtId="165" fontId="2" fillId="0" borderId="0" xfId="0" applyNumberFormat="1" applyFont="1"/>
    <xf numFmtId="164" fontId="2" fillId="0" borderId="0" xfId="0" applyNumberFormat="1" applyFont="1"/>
    <xf numFmtId="2" fontId="2" fillId="0" borderId="0" xfId="0" applyNumberFormat="1" applyFont="1"/>
    <xf numFmtId="14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73"/>
  <sheetViews>
    <sheetView tabSelected="1" zoomScaleNormal="100" workbookViewId="0">
      <pane ySplit="1" topLeftCell="A7" activePane="bottomLeft" state="frozen"/>
      <selection pane="bottomLeft" activeCell="D18" sqref="D18"/>
    </sheetView>
  </sheetViews>
  <sheetFormatPr baseColWidth="10" defaultColWidth="11" defaultRowHeight="16" x14ac:dyDescent="0.2"/>
  <cols>
    <col min="1" max="1" width="11" style="1"/>
    <col min="2" max="2" width="35.83203125" style="2" customWidth="1"/>
    <col min="3" max="3" width="21.5" customWidth="1"/>
    <col min="4" max="4" width="29.83203125" customWidth="1"/>
    <col min="5" max="5" width="16" customWidth="1"/>
    <col min="7" max="7" width="13.1640625" customWidth="1"/>
    <col min="8" max="8" width="13.83203125" customWidth="1"/>
    <col min="9" max="9" width="15" customWidth="1"/>
    <col min="10" max="10" width="14" customWidth="1"/>
    <col min="11" max="11" width="13" customWidth="1"/>
    <col min="12" max="12" width="14.1640625" customWidth="1"/>
  </cols>
  <sheetData>
    <row r="1" spans="1:13" s="1" customFormat="1" x14ac:dyDescent="0.2">
      <c r="A1" s="1" t="s">
        <v>16</v>
      </c>
      <c r="B1" s="1" t="s">
        <v>1</v>
      </c>
      <c r="C1" s="1" t="s">
        <v>17</v>
      </c>
      <c r="D1" s="1" t="s">
        <v>9</v>
      </c>
      <c r="E1" s="1" t="s">
        <v>10</v>
      </c>
      <c r="F1" s="1" t="s">
        <v>8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79</v>
      </c>
    </row>
    <row r="2" spans="1:13" s="2" customFormat="1" x14ac:dyDescent="0.2">
      <c r="A2" s="1">
        <v>1</v>
      </c>
      <c r="B2" s="2" t="s">
        <v>128</v>
      </c>
      <c r="C2" s="2" t="s">
        <v>12</v>
      </c>
      <c r="D2" s="2" t="s">
        <v>94</v>
      </c>
      <c r="F2" s="2">
        <v>2018</v>
      </c>
      <c r="G2" s="3">
        <v>43396</v>
      </c>
      <c r="H2" s="4">
        <v>110</v>
      </c>
      <c r="I2" s="4">
        <v>296</v>
      </c>
      <c r="J2" s="4">
        <v>18.899999999999999</v>
      </c>
      <c r="K2" s="4">
        <v>9.4</v>
      </c>
      <c r="L2" s="5">
        <v>4.6500000000000004</v>
      </c>
      <c r="M2" s="6"/>
    </row>
    <row r="3" spans="1:13" s="2" customFormat="1" x14ac:dyDescent="0.2">
      <c r="A3" s="1">
        <v>2</v>
      </c>
      <c r="B3" s="2" t="s">
        <v>0</v>
      </c>
      <c r="C3" s="2" t="s">
        <v>12</v>
      </c>
      <c r="D3" s="2" t="s">
        <v>93</v>
      </c>
      <c r="F3" s="2">
        <v>2018</v>
      </c>
      <c r="G3" s="3">
        <v>43377</v>
      </c>
      <c r="H3" s="4">
        <v>118</v>
      </c>
      <c r="I3" s="4">
        <v>654</v>
      </c>
      <c r="J3" s="4">
        <v>1.7</v>
      </c>
      <c r="K3" s="4">
        <v>14.4</v>
      </c>
      <c r="L3" s="5">
        <v>12.7</v>
      </c>
    </row>
    <row r="4" spans="1:13" x14ac:dyDescent="0.2">
      <c r="A4" s="1">
        <v>3</v>
      </c>
      <c r="B4" s="2" t="s">
        <v>11</v>
      </c>
      <c r="C4" s="2" t="s">
        <v>12</v>
      </c>
      <c r="D4" s="2" t="s">
        <v>92</v>
      </c>
      <c r="E4" s="2"/>
      <c r="F4" s="2">
        <v>2017</v>
      </c>
      <c r="G4" s="3">
        <v>43373</v>
      </c>
      <c r="H4" s="4">
        <v>125</v>
      </c>
      <c r="I4" s="4">
        <v>440</v>
      </c>
      <c r="J4" s="4">
        <v>4.8</v>
      </c>
      <c r="K4" s="4">
        <v>14.3</v>
      </c>
      <c r="L4" s="5">
        <v>6.6</v>
      </c>
      <c r="M4" s="2"/>
    </row>
    <row r="5" spans="1:13" x14ac:dyDescent="0.2">
      <c r="A5" s="1">
        <v>4</v>
      </c>
      <c r="B5" s="2" t="s">
        <v>15</v>
      </c>
      <c r="C5" s="2" t="s">
        <v>13</v>
      </c>
      <c r="D5" s="2" t="s">
        <v>60</v>
      </c>
      <c r="E5" s="2"/>
      <c r="F5" s="2">
        <v>2018</v>
      </c>
      <c r="G5" s="3">
        <v>43376</v>
      </c>
      <c r="H5" s="4">
        <v>1440</v>
      </c>
      <c r="I5" s="4">
        <v>2250</v>
      </c>
      <c r="J5" s="4">
        <v>75</v>
      </c>
      <c r="K5" s="4">
        <v>38</v>
      </c>
      <c r="L5" s="5">
        <v>10.5</v>
      </c>
      <c r="M5" s="2"/>
    </row>
    <row r="6" spans="1:13" x14ac:dyDescent="0.2">
      <c r="A6" s="1">
        <v>5</v>
      </c>
      <c r="B6" s="2" t="s">
        <v>15</v>
      </c>
      <c r="C6" s="2" t="s">
        <v>13</v>
      </c>
      <c r="D6" s="2" t="s">
        <v>55</v>
      </c>
      <c r="E6" s="2" t="s">
        <v>66</v>
      </c>
      <c r="F6" s="2">
        <v>2018</v>
      </c>
      <c r="G6" s="3">
        <v>43376</v>
      </c>
      <c r="H6" s="4">
        <v>700</v>
      </c>
      <c r="I6" s="4">
        <v>654</v>
      </c>
      <c r="J6" s="4">
        <v>27</v>
      </c>
      <c r="K6" s="4">
        <v>15.7</v>
      </c>
      <c r="L6" s="5">
        <v>10.5</v>
      </c>
      <c r="M6" s="2"/>
    </row>
    <row r="7" spans="1:13" x14ac:dyDescent="0.2">
      <c r="A7" s="1">
        <v>6</v>
      </c>
      <c r="B7" s="2" t="s">
        <v>15</v>
      </c>
      <c r="C7" s="2" t="s">
        <v>14</v>
      </c>
      <c r="D7" s="2" t="s">
        <v>61</v>
      </c>
      <c r="E7" s="2"/>
      <c r="F7" s="2">
        <v>2018</v>
      </c>
      <c r="G7" s="3">
        <v>43376</v>
      </c>
      <c r="H7" s="4">
        <v>343</v>
      </c>
      <c r="I7" s="4">
        <v>1618</v>
      </c>
      <c r="J7" s="4">
        <v>0.56000000000000005</v>
      </c>
      <c r="K7" s="4">
        <v>11</v>
      </c>
      <c r="L7" s="5">
        <v>8.5</v>
      </c>
      <c r="M7" s="2"/>
    </row>
    <row r="8" spans="1:13" x14ac:dyDescent="0.2">
      <c r="A8" s="1">
        <v>7</v>
      </c>
      <c r="B8" s="2" t="s">
        <v>15</v>
      </c>
      <c r="C8" s="2" t="s">
        <v>14</v>
      </c>
      <c r="D8" s="2" t="s">
        <v>62</v>
      </c>
      <c r="E8" s="2"/>
      <c r="F8" s="2">
        <v>2018</v>
      </c>
      <c r="G8" s="3">
        <v>43376</v>
      </c>
      <c r="H8" s="4">
        <v>850</v>
      </c>
      <c r="I8" s="4">
        <v>2458</v>
      </c>
      <c r="J8" s="4">
        <v>12</v>
      </c>
      <c r="K8" s="4">
        <v>29</v>
      </c>
      <c r="L8" s="5">
        <v>5.8</v>
      </c>
      <c r="M8" s="2"/>
    </row>
    <row r="9" spans="1:13" x14ac:dyDescent="0.2">
      <c r="A9" s="1">
        <v>8</v>
      </c>
      <c r="B9" s="2" t="s">
        <v>18</v>
      </c>
      <c r="C9" s="2" t="s">
        <v>12</v>
      </c>
      <c r="D9" s="2" t="s">
        <v>87</v>
      </c>
      <c r="E9" s="2"/>
      <c r="F9" s="2">
        <v>2018</v>
      </c>
      <c r="G9" s="3">
        <v>43405</v>
      </c>
      <c r="H9" s="4">
        <v>160</v>
      </c>
      <c r="I9" s="4">
        <v>660</v>
      </c>
      <c r="J9" s="4">
        <v>5.8</v>
      </c>
      <c r="K9" s="4">
        <v>13.2</v>
      </c>
      <c r="L9" s="5">
        <v>7.9</v>
      </c>
      <c r="M9" s="2"/>
    </row>
    <row r="10" spans="1:13" s="2" customFormat="1" x14ac:dyDescent="0.2">
      <c r="A10" s="1">
        <v>9</v>
      </c>
      <c r="B10" s="2" t="s">
        <v>46</v>
      </c>
      <c r="C10" s="2" t="s">
        <v>12</v>
      </c>
      <c r="D10" s="2" t="s">
        <v>88</v>
      </c>
      <c r="F10" s="2">
        <v>2016</v>
      </c>
      <c r="G10" s="3">
        <v>43377</v>
      </c>
      <c r="H10" s="4">
        <v>74</v>
      </c>
      <c r="I10" s="4">
        <v>276</v>
      </c>
      <c r="J10" s="4">
        <v>3.5</v>
      </c>
      <c r="K10" s="4">
        <v>9.9</v>
      </c>
      <c r="L10" s="5">
        <v>4.3499999999999996</v>
      </c>
    </row>
    <row r="11" spans="1:13" x14ac:dyDescent="0.2">
      <c r="A11" s="1">
        <v>10</v>
      </c>
      <c r="B11" s="2" t="s">
        <v>129</v>
      </c>
      <c r="C11" s="2" t="s">
        <v>12</v>
      </c>
      <c r="D11" s="2" t="s">
        <v>89</v>
      </c>
      <c r="E11" s="2"/>
      <c r="F11" s="2">
        <v>2016</v>
      </c>
      <c r="G11" s="3">
        <v>43376</v>
      </c>
      <c r="H11" s="4">
        <v>84</v>
      </c>
      <c r="I11" s="4">
        <v>463</v>
      </c>
      <c r="J11" s="4">
        <v>3.5</v>
      </c>
      <c r="K11" s="4">
        <v>10.9</v>
      </c>
      <c r="L11" s="5">
        <v>4.3</v>
      </c>
      <c r="M11" s="2" t="s">
        <v>78</v>
      </c>
    </row>
    <row r="12" spans="1:13" s="1" customFormat="1" x14ac:dyDescent="0.2">
      <c r="A12" s="1">
        <v>11</v>
      </c>
      <c r="B12" s="2" t="s">
        <v>19</v>
      </c>
      <c r="C12" s="2" t="s">
        <v>12</v>
      </c>
      <c r="D12" s="2" t="s">
        <v>90</v>
      </c>
      <c r="E12" s="2"/>
      <c r="F12" s="2">
        <v>2015</v>
      </c>
      <c r="G12" s="3">
        <v>43373</v>
      </c>
      <c r="H12" s="4">
        <v>48</v>
      </c>
      <c r="I12" s="4">
        <v>163</v>
      </c>
      <c r="J12" s="4">
        <v>2.9</v>
      </c>
      <c r="K12" s="4">
        <v>7.3</v>
      </c>
      <c r="L12" s="5">
        <v>1.2</v>
      </c>
      <c r="M12" s="2"/>
    </row>
    <row r="13" spans="1:13" x14ac:dyDescent="0.2">
      <c r="A13" s="1">
        <v>12</v>
      </c>
      <c r="B13" s="2" t="s">
        <v>20</v>
      </c>
      <c r="C13" s="2" t="s">
        <v>12</v>
      </c>
      <c r="D13" s="2" t="s">
        <v>91</v>
      </c>
      <c r="E13" s="2"/>
      <c r="F13" s="2">
        <v>2017</v>
      </c>
      <c r="G13" s="3">
        <v>43376</v>
      </c>
      <c r="H13" s="4">
        <v>130</v>
      </c>
      <c r="I13" s="4">
        <v>657</v>
      </c>
      <c r="J13" s="4">
        <v>3.8</v>
      </c>
      <c r="K13" s="4">
        <v>13.4</v>
      </c>
      <c r="L13" s="5">
        <v>7.3</v>
      </c>
      <c r="M13" s="2"/>
    </row>
    <row r="14" spans="1:13" s="1" customFormat="1" x14ac:dyDescent="0.2">
      <c r="A14" s="1">
        <v>13</v>
      </c>
      <c r="B14" s="2" t="s">
        <v>130</v>
      </c>
      <c r="C14" s="2" t="s">
        <v>12</v>
      </c>
      <c r="D14" s="2" t="s">
        <v>91</v>
      </c>
      <c r="E14" s="2"/>
      <c r="F14" s="2">
        <v>2017</v>
      </c>
      <c r="G14" s="3">
        <v>43376</v>
      </c>
      <c r="H14" s="4">
        <v>88</v>
      </c>
      <c r="I14" s="4">
        <v>386</v>
      </c>
      <c r="J14" s="4">
        <v>4.7</v>
      </c>
      <c r="K14" s="4">
        <v>9.6999999999999993</v>
      </c>
      <c r="L14" s="5">
        <v>7.5</v>
      </c>
      <c r="M14" s="2"/>
    </row>
    <row r="15" spans="1:13" s="1" customFormat="1" x14ac:dyDescent="0.2">
      <c r="A15" s="1">
        <v>14</v>
      </c>
      <c r="B15" s="2" t="s">
        <v>22</v>
      </c>
      <c r="C15" s="2" t="s">
        <v>12</v>
      </c>
      <c r="D15" s="2" t="s">
        <v>23</v>
      </c>
      <c r="E15" s="2"/>
      <c r="F15" s="2">
        <v>2016</v>
      </c>
      <c r="G15" s="3">
        <v>43385</v>
      </c>
      <c r="H15" s="4">
        <v>70.400000000000006</v>
      </c>
      <c r="I15" s="4">
        <v>235</v>
      </c>
      <c r="J15" s="4">
        <v>11.5</v>
      </c>
      <c r="K15" s="4">
        <v>8.1999999999999993</v>
      </c>
      <c r="L15" s="5">
        <v>7.3</v>
      </c>
      <c r="M15" s="2"/>
    </row>
    <row r="16" spans="1:13" s="1" customFormat="1" x14ac:dyDescent="0.2">
      <c r="A16" s="1">
        <v>15</v>
      </c>
      <c r="B16" s="2" t="s">
        <v>24</v>
      </c>
      <c r="C16" s="2" t="s">
        <v>12</v>
      </c>
      <c r="D16" s="2" t="s">
        <v>25</v>
      </c>
      <c r="E16" s="2"/>
      <c r="F16" s="2">
        <v>2015</v>
      </c>
      <c r="G16" s="3">
        <v>43376</v>
      </c>
      <c r="H16" s="4">
        <v>17.3</v>
      </c>
      <c r="I16" s="4">
        <v>78</v>
      </c>
      <c r="J16" s="4">
        <v>1.1499999999999999</v>
      </c>
      <c r="K16" s="4">
        <v>1.2</v>
      </c>
      <c r="L16" s="5">
        <v>1.4</v>
      </c>
      <c r="M16" s="2"/>
    </row>
    <row r="17" spans="1:13" x14ac:dyDescent="0.2">
      <c r="A17" s="1">
        <v>16</v>
      </c>
      <c r="B17" s="2" t="s">
        <v>86</v>
      </c>
      <c r="C17" s="2" t="s">
        <v>14</v>
      </c>
      <c r="D17" s="2" t="s">
        <v>84</v>
      </c>
      <c r="E17" s="2"/>
      <c r="F17" s="2">
        <v>2014</v>
      </c>
      <c r="G17" s="3">
        <v>43377</v>
      </c>
      <c r="H17" s="4">
        <v>340</v>
      </c>
      <c r="I17" s="4">
        <v>503</v>
      </c>
      <c r="J17" s="4">
        <v>5.2</v>
      </c>
      <c r="K17" s="4">
        <v>41</v>
      </c>
      <c r="L17" s="5">
        <v>9.1</v>
      </c>
      <c r="M17" s="2"/>
    </row>
    <row r="18" spans="1:13" x14ac:dyDescent="0.2">
      <c r="A18" s="1">
        <v>17</v>
      </c>
      <c r="B18" s="2" t="s">
        <v>26</v>
      </c>
      <c r="C18" s="2" t="s">
        <v>14</v>
      </c>
      <c r="D18" s="2" t="s">
        <v>139</v>
      </c>
      <c r="E18" s="2"/>
      <c r="F18" s="2">
        <v>2010</v>
      </c>
      <c r="G18" s="3">
        <v>43377</v>
      </c>
      <c r="H18" s="4">
        <v>62</v>
      </c>
      <c r="I18" s="4">
        <v>124</v>
      </c>
      <c r="J18" s="4">
        <v>0.21</v>
      </c>
      <c r="K18" s="4">
        <v>0.62</v>
      </c>
      <c r="L18" s="5">
        <v>9.1</v>
      </c>
      <c r="M18" s="2"/>
    </row>
    <row r="19" spans="1:13" s="1" customFormat="1" x14ac:dyDescent="0.2">
      <c r="A19" s="1">
        <v>18</v>
      </c>
      <c r="B19" s="2" t="s">
        <v>27</v>
      </c>
      <c r="C19" s="2" t="s">
        <v>12</v>
      </c>
      <c r="D19" s="2" t="s">
        <v>28</v>
      </c>
      <c r="E19" s="2"/>
      <c r="F19" s="2">
        <v>2014</v>
      </c>
      <c r="G19" s="3">
        <v>43375</v>
      </c>
      <c r="H19" s="4">
        <v>77</v>
      </c>
      <c r="I19" s="4">
        <v>216</v>
      </c>
      <c r="J19" s="4">
        <v>3.8</v>
      </c>
      <c r="K19" s="4">
        <v>8.8000000000000007</v>
      </c>
      <c r="L19" s="5">
        <v>2.6</v>
      </c>
      <c r="M19" s="2"/>
    </row>
    <row r="20" spans="1:13" s="1" customFormat="1" x14ac:dyDescent="0.2">
      <c r="A20" s="1">
        <v>19</v>
      </c>
      <c r="B20" s="2" t="s">
        <v>45</v>
      </c>
      <c r="C20" s="2" t="s">
        <v>12</v>
      </c>
      <c r="D20" s="2" t="s">
        <v>29</v>
      </c>
      <c r="E20" s="2"/>
      <c r="F20" s="2">
        <v>2014</v>
      </c>
      <c r="G20" s="3">
        <v>43374</v>
      </c>
      <c r="H20" s="4">
        <v>40</v>
      </c>
      <c r="I20" s="4">
        <v>202</v>
      </c>
      <c r="J20" s="4">
        <v>3.1</v>
      </c>
      <c r="K20" s="4">
        <v>8.6999999999999993</v>
      </c>
      <c r="L20" s="5">
        <v>1.1399999999999999</v>
      </c>
      <c r="M20" s="2"/>
    </row>
    <row r="21" spans="1:13" x14ac:dyDescent="0.2">
      <c r="A21" s="1">
        <v>20</v>
      </c>
      <c r="B21" s="2" t="s">
        <v>30</v>
      </c>
      <c r="C21" s="2" t="s">
        <v>12</v>
      </c>
      <c r="D21" s="2" t="s">
        <v>70</v>
      </c>
      <c r="E21" s="2"/>
      <c r="F21" s="2">
        <v>2017</v>
      </c>
      <c r="G21" s="3">
        <v>43377</v>
      </c>
      <c r="H21" s="4">
        <v>37.9</v>
      </c>
      <c r="I21" s="4">
        <v>187</v>
      </c>
      <c r="J21" s="4">
        <v>10.5</v>
      </c>
      <c r="K21" s="4">
        <v>7.9</v>
      </c>
      <c r="L21" s="5">
        <v>1.46</v>
      </c>
      <c r="M21" s="2"/>
    </row>
    <row r="22" spans="1:13" x14ac:dyDescent="0.2">
      <c r="A22" s="1">
        <v>21</v>
      </c>
      <c r="B22" s="2" t="s">
        <v>31</v>
      </c>
      <c r="C22" s="2" t="s">
        <v>12</v>
      </c>
      <c r="D22" s="2" t="s">
        <v>32</v>
      </c>
      <c r="E22" s="2"/>
      <c r="F22" s="2">
        <v>2016</v>
      </c>
      <c r="G22" s="3">
        <v>43374</v>
      </c>
      <c r="H22" s="4">
        <v>16.8</v>
      </c>
      <c r="I22" s="4">
        <v>148</v>
      </c>
      <c r="J22" s="4">
        <v>5</v>
      </c>
      <c r="K22" s="4">
        <v>7.6</v>
      </c>
      <c r="L22" s="5">
        <v>1.6</v>
      </c>
      <c r="M22" s="2"/>
    </row>
    <row r="23" spans="1:13" x14ac:dyDescent="0.2">
      <c r="A23" s="1">
        <v>22</v>
      </c>
      <c r="B23" s="2" t="s">
        <v>31</v>
      </c>
      <c r="C23" s="2" t="s">
        <v>12</v>
      </c>
      <c r="D23" s="2" t="s">
        <v>33</v>
      </c>
      <c r="E23" s="2"/>
      <c r="F23" s="2">
        <v>2016</v>
      </c>
      <c r="G23" s="3">
        <v>43387</v>
      </c>
      <c r="H23" s="4">
        <v>12.5</v>
      </c>
      <c r="I23" s="4">
        <v>143</v>
      </c>
      <c r="J23" s="4">
        <v>3.3</v>
      </c>
      <c r="K23" s="4">
        <v>3.9</v>
      </c>
      <c r="L23" s="5">
        <v>1.6</v>
      </c>
      <c r="M23" s="2"/>
    </row>
    <row r="24" spans="1:13" x14ac:dyDescent="0.2">
      <c r="A24" s="1">
        <v>23</v>
      </c>
      <c r="B24" s="2" t="s">
        <v>15</v>
      </c>
      <c r="C24" s="2" t="s">
        <v>13</v>
      </c>
      <c r="D24" s="2" t="s">
        <v>34</v>
      </c>
      <c r="E24" s="2"/>
      <c r="F24" s="2">
        <v>2013</v>
      </c>
      <c r="G24" s="3">
        <v>43375</v>
      </c>
      <c r="H24" s="4">
        <v>294</v>
      </c>
      <c r="I24" s="4">
        <v>407</v>
      </c>
      <c r="J24" s="4">
        <v>26</v>
      </c>
      <c r="K24" s="4">
        <v>17.7</v>
      </c>
      <c r="L24" s="5">
        <v>5.9</v>
      </c>
      <c r="M24" s="2"/>
    </row>
    <row r="25" spans="1:13" x14ac:dyDescent="0.2">
      <c r="A25" s="1">
        <v>24</v>
      </c>
      <c r="B25" s="2" t="s">
        <v>15</v>
      </c>
      <c r="C25" s="2" t="s">
        <v>13</v>
      </c>
      <c r="D25" s="2" t="s">
        <v>35</v>
      </c>
      <c r="E25" s="2"/>
      <c r="F25" s="2">
        <v>2014</v>
      </c>
      <c r="G25" s="3">
        <v>43376</v>
      </c>
      <c r="H25" s="4">
        <v>541</v>
      </c>
      <c r="I25" s="4">
        <v>699</v>
      </c>
      <c r="J25" s="4">
        <v>43</v>
      </c>
      <c r="K25" s="4">
        <v>23</v>
      </c>
      <c r="L25" s="5">
        <v>6.7</v>
      </c>
      <c r="M25" s="2"/>
    </row>
    <row r="26" spans="1:13" x14ac:dyDescent="0.2">
      <c r="A26" s="1">
        <v>25</v>
      </c>
      <c r="B26" s="2" t="s">
        <v>36</v>
      </c>
      <c r="C26" s="2" t="s">
        <v>13</v>
      </c>
      <c r="D26" s="2" t="s">
        <v>37</v>
      </c>
      <c r="E26" s="2"/>
      <c r="F26" s="2">
        <v>2017</v>
      </c>
      <c r="G26" s="3">
        <v>43377</v>
      </c>
      <c r="H26" s="4">
        <v>766</v>
      </c>
      <c r="I26" s="4">
        <v>962</v>
      </c>
      <c r="J26" s="4">
        <v>63</v>
      </c>
      <c r="K26" s="4">
        <v>39</v>
      </c>
      <c r="L26" s="5">
        <v>9.1</v>
      </c>
      <c r="M26" s="2"/>
    </row>
    <row r="27" spans="1:13" x14ac:dyDescent="0.2">
      <c r="A27" s="1">
        <v>26</v>
      </c>
      <c r="B27" s="2" t="s">
        <v>38</v>
      </c>
      <c r="C27" s="2" t="s">
        <v>12</v>
      </c>
      <c r="D27" s="2" t="s">
        <v>39</v>
      </c>
      <c r="E27" s="2"/>
      <c r="F27" s="2">
        <v>2018</v>
      </c>
      <c r="G27" s="3">
        <v>43377</v>
      </c>
      <c r="H27" s="4">
        <v>110</v>
      </c>
      <c r="I27" s="4">
        <v>653</v>
      </c>
      <c r="J27" s="4">
        <v>1.6</v>
      </c>
      <c r="K27" s="4">
        <v>14.3</v>
      </c>
      <c r="L27" s="5">
        <v>13</v>
      </c>
      <c r="M27" s="2"/>
    </row>
    <row r="28" spans="1:13" x14ac:dyDescent="0.2">
      <c r="A28" s="1">
        <v>27</v>
      </c>
      <c r="B28" s="2" t="s">
        <v>40</v>
      </c>
      <c r="C28" s="2" t="s">
        <v>14</v>
      </c>
      <c r="D28" s="2" t="s">
        <v>41</v>
      </c>
      <c r="E28" s="2"/>
      <c r="F28" s="2">
        <v>2018</v>
      </c>
      <c r="G28" s="3">
        <v>43429</v>
      </c>
      <c r="H28" s="4">
        <v>96</v>
      </c>
      <c r="I28" s="4">
        <v>127</v>
      </c>
      <c r="J28" s="4">
        <v>0.95</v>
      </c>
      <c r="K28" s="4">
        <v>39</v>
      </c>
      <c r="L28" s="5">
        <v>4.3</v>
      </c>
      <c r="M28" s="2"/>
    </row>
    <row r="29" spans="1:13" x14ac:dyDescent="0.2">
      <c r="A29" s="1">
        <v>28</v>
      </c>
      <c r="B29" s="2" t="s">
        <v>40</v>
      </c>
      <c r="C29" s="2" t="s">
        <v>14</v>
      </c>
      <c r="D29" s="2" t="s">
        <v>42</v>
      </c>
      <c r="E29" s="2"/>
      <c r="F29" s="2">
        <v>2018</v>
      </c>
      <c r="G29" s="3">
        <v>43429</v>
      </c>
      <c r="H29" s="4">
        <v>128</v>
      </c>
      <c r="I29" s="4">
        <v>128</v>
      </c>
      <c r="J29" s="4">
        <v>8.4</v>
      </c>
      <c r="K29" s="4">
        <v>15.9</v>
      </c>
      <c r="L29" s="5">
        <v>4.3</v>
      </c>
      <c r="M29" s="2"/>
    </row>
    <row r="30" spans="1:13" x14ac:dyDescent="0.2">
      <c r="A30" s="1">
        <v>29</v>
      </c>
      <c r="B30" s="2" t="s">
        <v>43</v>
      </c>
      <c r="C30" s="2" t="s">
        <v>12</v>
      </c>
      <c r="D30" s="2" t="s">
        <v>44</v>
      </c>
      <c r="E30" s="2"/>
      <c r="F30" s="2">
        <v>2013</v>
      </c>
      <c r="G30" s="3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5">
        <v>0.85</v>
      </c>
      <c r="M30" s="2"/>
    </row>
    <row r="31" spans="1:13" x14ac:dyDescent="0.2">
      <c r="A31" s="1">
        <v>30</v>
      </c>
      <c r="B31" s="2" t="s">
        <v>98</v>
      </c>
      <c r="C31" s="2" t="s">
        <v>14</v>
      </c>
      <c r="D31" s="2" t="s">
        <v>95</v>
      </c>
      <c r="E31" s="2"/>
      <c r="F31" s="2">
        <v>2017</v>
      </c>
      <c r="G31" s="3">
        <v>43430</v>
      </c>
      <c r="H31" s="4">
        <v>385</v>
      </c>
      <c r="I31" s="4">
        <v>1125</v>
      </c>
      <c r="J31" s="4">
        <v>1.42</v>
      </c>
      <c r="K31" s="4">
        <v>29</v>
      </c>
      <c r="L31" s="5">
        <v>6.95</v>
      </c>
      <c r="M31" s="2"/>
    </row>
    <row r="32" spans="1:13" x14ac:dyDescent="0.2">
      <c r="A32" s="1">
        <v>31</v>
      </c>
      <c r="B32" s="2" t="s">
        <v>99</v>
      </c>
      <c r="C32" s="2" t="s">
        <v>14</v>
      </c>
      <c r="D32" s="2" t="s">
        <v>85</v>
      </c>
      <c r="E32" s="2"/>
      <c r="F32" s="2">
        <v>2015</v>
      </c>
      <c r="G32" s="3">
        <v>43431</v>
      </c>
      <c r="H32" s="4">
        <v>269</v>
      </c>
      <c r="I32" s="4">
        <v>1430</v>
      </c>
      <c r="J32" s="4">
        <v>3.08</v>
      </c>
      <c r="K32" s="4">
        <v>27</v>
      </c>
      <c r="L32" s="5">
        <v>4</v>
      </c>
      <c r="M32" s="2"/>
    </row>
    <row r="33" spans="1:13" x14ac:dyDescent="0.2">
      <c r="A33" s="1">
        <v>32</v>
      </c>
      <c r="B33" s="2" t="s">
        <v>128</v>
      </c>
      <c r="C33" s="2" t="s">
        <v>12</v>
      </c>
      <c r="D33" s="2" t="s">
        <v>53</v>
      </c>
      <c r="E33" s="2"/>
      <c r="F33" s="2">
        <v>2018</v>
      </c>
      <c r="G33" s="3">
        <v>43387</v>
      </c>
      <c r="H33" s="4">
        <v>117</v>
      </c>
      <c r="I33" s="4">
        <v>307</v>
      </c>
      <c r="J33" s="4">
        <v>19</v>
      </c>
      <c r="K33" s="4">
        <v>12.48</v>
      </c>
      <c r="L33" s="5">
        <v>4.68</v>
      </c>
      <c r="M33" s="2"/>
    </row>
    <row r="34" spans="1:13" x14ac:dyDescent="0.2">
      <c r="A34" s="1">
        <v>33</v>
      </c>
      <c r="B34" s="2" t="s">
        <v>47</v>
      </c>
      <c r="C34" s="2" t="s">
        <v>12</v>
      </c>
      <c r="D34" s="2" t="s">
        <v>21</v>
      </c>
      <c r="E34" s="2"/>
      <c r="F34" s="2">
        <v>2017</v>
      </c>
      <c r="G34" s="3">
        <v>43432</v>
      </c>
      <c r="H34" s="4">
        <v>73</v>
      </c>
      <c r="I34" s="4">
        <v>357</v>
      </c>
      <c r="J34" s="4">
        <v>3.31</v>
      </c>
      <c r="K34" s="4">
        <v>8.6999999999999993</v>
      </c>
      <c r="L34" s="5">
        <v>6.2</v>
      </c>
      <c r="M34" s="2"/>
    </row>
    <row r="35" spans="1:13" x14ac:dyDescent="0.2">
      <c r="A35" s="1">
        <v>34</v>
      </c>
      <c r="B35" s="2" t="s">
        <v>47</v>
      </c>
      <c r="C35" s="2" t="s">
        <v>12</v>
      </c>
      <c r="D35" s="2" t="s">
        <v>48</v>
      </c>
      <c r="E35" s="2"/>
      <c r="F35" s="2">
        <v>2017</v>
      </c>
      <c r="G35" s="3">
        <v>43432</v>
      </c>
      <c r="H35" s="4">
        <v>84.6</v>
      </c>
      <c r="I35" s="4">
        <v>364</v>
      </c>
      <c r="J35" s="4">
        <v>1.51</v>
      </c>
      <c r="K35" s="4">
        <v>10.8</v>
      </c>
      <c r="L35" s="5">
        <v>4.5</v>
      </c>
      <c r="M35" s="2"/>
    </row>
    <row r="36" spans="1:13" x14ac:dyDescent="0.2">
      <c r="A36" s="1">
        <v>35</v>
      </c>
      <c r="B36" s="2" t="s">
        <v>129</v>
      </c>
      <c r="C36" s="2" t="s">
        <v>12</v>
      </c>
      <c r="D36" s="2" t="s">
        <v>52</v>
      </c>
      <c r="E36" s="2"/>
      <c r="F36" s="2">
        <v>2016</v>
      </c>
      <c r="G36" s="3">
        <v>43434</v>
      </c>
      <c r="H36" s="4">
        <v>74.5</v>
      </c>
      <c r="I36" s="4">
        <v>320</v>
      </c>
      <c r="J36" s="4">
        <v>2.14</v>
      </c>
      <c r="K36" s="4">
        <v>10.96</v>
      </c>
      <c r="L36" s="5">
        <v>4.22</v>
      </c>
      <c r="M36" s="2"/>
    </row>
    <row r="37" spans="1:13" x14ac:dyDescent="0.2">
      <c r="A37" s="1">
        <v>36</v>
      </c>
      <c r="B37" s="2" t="s">
        <v>129</v>
      </c>
      <c r="C37" s="2" t="s">
        <v>12</v>
      </c>
      <c r="D37" s="2" t="s">
        <v>49</v>
      </c>
      <c r="E37" s="2"/>
      <c r="F37" s="2">
        <v>2016</v>
      </c>
      <c r="G37" s="3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5">
        <v>4.22</v>
      </c>
      <c r="M37" s="2"/>
    </row>
    <row r="38" spans="1:13" x14ac:dyDescent="0.2">
      <c r="A38" s="1">
        <v>37</v>
      </c>
      <c r="B38" s="2" t="s">
        <v>129</v>
      </c>
      <c r="C38" s="2" t="s">
        <v>12</v>
      </c>
      <c r="D38" s="2" t="s">
        <v>75</v>
      </c>
      <c r="E38" s="2"/>
      <c r="F38" s="2">
        <v>2016</v>
      </c>
      <c r="G38" s="3">
        <v>43434</v>
      </c>
      <c r="H38" s="4">
        <v>84</v>
      </c>
      <c r="I38" s="4">
        <v>389</v>
      </c>
      <c r="J38" s="4">
        <v>3.95</v>
      </c>
      <c r="K38" s="4">
        <v>14.18</v>
      </c>
      <c r="L38" s="5">
        <v>4.28</v>
      </c>
      <c r="M38" s="2"/>
    </row>
    <row r="39" spans="1:13" x14ac:dyDescent="0.2">
      <c r="A39" s="1">
        <v>38</v>
      </c>
      <c r="B39" s="2" t="s">
        <v>50</v>
      </c>
      <c r="C39" s="2" t="s">
        <v>12</v>
      </c>
      <c r="D39" s="2" t="s">
        <v>51</v>
      </c>
      <c r="E39" s="2"/>
      <c r="F39" s="2">
        <v>2016</v>
      </c>
      <c r="G39" s="3">
        <v>43438</v>
      </c>
      <c r="H39" s="4">
        <v>24</v>
      </c>
      <c r="I39" s="4">
        <v>116</v>
      </c>
      <c r="J39" s="4">
        <v>2.1</v>
      </c>
      <c r="K39" s="4">
        <v>5.81</v>
      </c>
      <c r="L39" s="5">
        <v>3</v>
      </c>
      <c r="M39" s="2"/>
    </row>
    <row r="40" spans="1:13" x14ac:dyDescent="0.2">
      <c r="A40" s="1">
        <v>39</v>
      </c>
      <c r="B40" s="2" t="s">
        <v>50</v>
      </c>
      <c r="C40" s="2" t="s">
        <v>12</v>
      </c>
      <c r="D40" s="2" t="s">
        <v>54</v>
      </c>
      <c r="E40" s="2"/>
      <c r="F40" s="2">
        <v>2016</v>
      </c>
      <c r="G40" s="3">
        <v>43438</v>
      </c>
      <c r="H40" s="4">
        <v>14.7</v>
      </c>
      <c r="I40" s="4">
        <v>45.2</v>
      </c>
      <c r="J40" s="4">
        <v>1.1000000000000001</v>
      </c>
      <c r="K40" s="4">
        <v>0.97</v>
      </c>
      <c r="L40" s="5">
        <v>2.8</v>
      </c>
      <c r="M40" s="2"/>
    </row>
    <row r="41" spans="1:13" x14ac:dyDescent="0.2">
      <c r="A41" s="1">
        <v>40</v>
      </c>
      <c r="B41" s="2" t="s">
        <v>56</v>
      </c>
      <c r="C41" s="2" t="s">
        <v>13</v>
      </c>
      <c r="D41" s="2" t="s">
        <v>72</v>
      </c>
      <c r="E41" s="2"/>
      <c r="F41" s="2">
        <v>2015</v>
      </c>
      <c r="G41" s="3">
        <v>43458</v>
      </c>
      <c r="H41" s="4">
        <v>77</v>
      </c>
      <c r="I41" s="4">
        <v>80.8</v>
      </c>
      <c r="J41" s="4">
        <v>0.97</v>
      </c>
      <c r="K41" s="4">
        <v>0.99</v>
      </c>
      <c r="L41" s="5">
        <v>10.5</v>
      </c>
      <c r="M41" s="2"/>
    </row>
    <row r="42" spans="1:13" x14ac:dyDescent="0.2">
      <c r="A42" s="1">
        <v>41</v>
      </c>
      <c r="B42" s="2" t="s">
        <v>101</v>
      </c>
      <c r="C42" s="2" t="s">
        <v>14</v>
      </c>
      <c r="D42" s="2" t="s">
        <v>57</v>
      </c>
      <c r="E42" s="2"/>
      <c r="F42" s="2">
        <v>2018</v>
      </c>
      <c r="G42" s="3">
        <v>43458</v>
      </c>
      <c r="H42" s="4">
        <v>523</v>
      </c>
      <c r="I42" s="4">
        <v>2314</v>
      </c>
      <c r="J42" s="4">
        <v>4.26</v>
      </c>
      <c r="K42" s="4">
        <v>42</v>
      </c>
      <c r="L42" s="5">
        <v>7.78</v>
      </c>
      <c r="M42" s="2"/>
    </row>
    <row r="43" spans="1:13" x14ac:dyDescent="0.2">
      <c r="A43" s="1">
        <v>42</v>
      </c>
      <c r="B43" s="2" t="s">
        <v>58</v>
      </c>
      <c r="C43" s="2" t="s">
        <v>12</v>
      </c>
      <c r="D43" s="2" t="s">
        <v>59</v>
      </c>
      <c r="E43" s="2"/>
      <c r="F43" s="2">
        <v>2018</v>
      </c>
      <c r="G43" s="3">
        <v>43459</v>
      </c>
      <c r="H43" s="4">
        <v>119.7</v>
      </c>
      <c r="I43" s="4">
        <v>652</v>
      </c>
      <c r="J43" s="4">
        <v>55.9</v>
      </c>
      <c r="K43" s="4">
        <v>15.45</v>
      </c>
      <c r="L43" s="5">
        <v>8.83</v>
      </c>
      <c r="M43" s="2"/>
    </row>
    <row r="44" spans="1:13" x14ac:dyDescent="0.2">
      <c r="A44" s="1">
        <v>43</v>
      </c>
      <c r="B44" s="2" t="s">
        <v>15</v>
      </c>
      <c r="C44" s="2" t="s">
        <v>13</v>
      </c>
      <c r="D44" s="2" t="s">
        <v>63</v>
      </c>
      <c r="E44" s="2"/>
      <c r="F44" s="2">
        <v>2018</v>
      </c>
      <c r="G44" s="3">
        <v>43462</v>
      </c>
      <c r="H44" s="4">
        <v>1460</v>
      </c>
      <c r="I44" s="4">
        <v>2250</v>
      </c>
      <c r="J44" s="4">
        <v>77.099999999999994</v>
      </c>
      <c r="K44" s="4">
        <v>56.6</v>
      </c>
      <c r="L44" s="5">
        <v>10.5</v>
      </c>
      <c r="M44" s="2"/>
    </row>
    <row r="45" spans="1:13" x14ac:dyDescent="0.2">
      <c r="A45" s="1">
        <v>44</v>
      </c>
      <c r="B45" s="2" t="s">
        <v>15</v>
      </c>
      <c r="C45" s="2" t="s">
        <v>13</v>
      </c>
      <c r="D45" s="2" t="s">
        <v>64</v>
      </c>
      <c r="E45" s="2" t="s">
        <v>65</v>
      </c>
      <c r="F45" s="2">
        <v>2018</v>
      </c>
      <c r="G45" s="3">
        <v>43462</v>
      </c>
      <c r="H45" s="4">
        <v>309.7</v>
      </c>
      <c r="I45" s="4">
        <v>125.2</v>
      </c>
      <c r="J45" s="4">
        <v>33</v>
      </c>
      <c r="K45" s="4">
        <v>46</v>
      </c>
      <c r="L45" s="5">
        <v>10.5</v>
      </c>
      <c r="M45" s="2"/>
    </row>
    <row r="46" spans="1:13" x14ac:dyDescent="0.2">
      <c r="A46" s="1">
        <v>45</v>
      </c>
      <c r="B46" s="2" t="s">
        <v>100</v>
      </c>
      <c r="C46" s="2" t="s">
        <v>14</v>
      </c>
      <c r="D46" s="2" t="s">
        <v>67</v>
      </c>
      <c r="E46" s="2"/>
      <c r="F46" s="2">
        <v>2014</v>
      </c>
      <c r="G46" s="3">
        <v>43463</v>
      </c>
      <c r="H46" s="4">
        <v>95</v>
      </c>
      <c r="I46" s="4">
        <v>489</v>
      </c>
      <c r="J46" s="4">
        <v>1.31</v>
      </c>
      <c r="K46" s="4">
        <v>24.5</v>
      </c>
      <c r="L46" s="5">
        <v>3.31</v>
      </c>
      <c r="M46" s="2"/>
    </row>
    <row r="47" spans="1:13" x14ac:dyDescent="0.2">
      <c r="A47" s="1">
        <v>46</v>
      </c>
      <c r="B47" s="2" t="s">
        <v>68</v>
      </c>
      <c r="C47" s="2" t="s">
        <v>12</v>
      </c>
      <c r="D47" s="2" t="s">
        <v>69</v>
      </c>
      <c r="E47" s="2"/>
      <c r="F47" s="2">
        <v>2018</v>
      </c>
      <c r="G47" s="3">
        <v>43465</v>
      </c>
      <c r="H47" s="4">
        <v>66.7</v>
      </c>
      <c r="I47" s="4">
        <v>150</v>
      </c>
      <c r="J47" s="4">
        <v>12.9</v>
      </c>
      <c r="K47" s="4">
        <v>6.9</v>
      </c>
      <c r="L47" s="5">
        <v>3.6</v>
      </c>
      <c r="M47" s="2"/>
    </row>
    <row r="48" spans="1:13" x14ac:dyDescent="0.2">
      <c r="A48" s="1">
        <v>47</v>
      </c>
      <c r="B48" s="2" t="s">
        <v>56</v>
      </c>
      <c r="C48" s="2" t="s">
        <v>13</v>
      </c>
      <c r="D48" s="2" t="s">
        <v>71</v>
      </c>
      <c r="E48" s="2"/>
      <c r="F48" s="2">
        <v>2015</v>
      </c>
      <c r="G48" s="3">
        <v>43464</v>
      </c>
      <c r="H48" s="4">
        <v>35.200000000000003</v>
      </c>
      <c r="I48" s="4">
        <v>35.700000000000003</v>
      </c>
      <c r="J48" s="4">
        <v>0.87</v>
      </c>
      <c r="K48" s="4">
        <v>0.7</v>
      </c>
      <c r="L48" s="5">
        <v>10.5</v>
      </c>
      <c r="M48" s="2"/>
    </row>
    <row r="49" spans="1:13" x14ac:dyDescent="0.2">
      <c r="A49" s="1">
        <v>48</v>
      </c>
      <c r="B49" s="2" t="s">
        <v>73</v>
      </c>
      <c r="C49" s="2" t="s">
        <v>12</v>
      </c>
      <c r="D49" s="2" t="s">
        <v>74</v>
      </c>
      <c r="E49" s="2"/>
      <c r="F49" s="2">
        <v>2015</v>
      </c>
      <c r="G49" s="3">
        <v>43801</v>
      </c>
      <c r="H49" s="4">
        <v>25.9</v>
      </c>
      <c r="I49" s="4">
        <v>221</v>
      </c>
      <c r="J49" s="4">
        <v>1.9</v>
      </c>
      <c r="K49" s="4">
        <v>6.6</v>
      </c>
      <c r="L49" s="5">
        <v>1.1000000000000001</v>
      </c>
      <c r="M49" s="2"/>
    </row>
    <row r="50" spans="1:13" x14ac:dyDescent="0.2">
      <c r="A50" s="1">
        <v>49</v>
      </c>
      <c r="B50" s="2" t="s">
        <v>77</v>
      </c>
      <c r="C50" s="2" t="s">
        <v>12</v>
      </c>
      <c r="D50" s="2" t="s">
        <v>76</v>
      </c>
      <c r="E50" s="2"/>
      <c r="F50" s="2">
        <v>2018</v>
      </c>
      <c r="G50" s="3">
        <v>43467</v>
      </c>
      <c r="H50" s="4">
        <v>40.200000000000003</v>
      </c>
      <c r="I50" s="4">
        <v>63.3</v>
      </c>
      <c r="J50" s="4">
        <v>2.1</v>
      </c>
      <c r="K50" s="4">
        <v>2.1</v>
      </c>
      <c r="L50" s="5">
        <v>1.3</v>
      </c>
      <c r="M50" s="2"/>
    </row>
    <row r="51" spans="1:13" x14ac:dyDescent="0.2">
      <c r="A51" s="1">
        <v>50</v>
      </c>
      <c r="B51" s="2" t="s">
        <v>80</v>
      </c>
      <c r="C51" s="2" t="s">
        <v>12</v>
      </c>
      <c r="D51" s="2" t="s">
        <v>81</v>
      </c>
      <c r="E51" s="2"/>
      <c r="F51" s="2">
        <v>2015</v>
      </c>
      <c r="G51" s="3">
        <v>43470</v>
      </c>
      <c r="H51" s="4">
        <v>11.2</v>
      </c>
      <c r="I51" s="4">
        <v>60.3</v>
      </c>
      <c r="J51" s="4">
        <v>2.11</v>
      </c>
      <c r="K51" s="4">
        <v>4.0999999999999996</v>
      </c>
      <c r="L51" s="5">
        <v>0.61</v>
      </c>
      <c r="M51" s="2"/>
    </row>
    <row r="52" spans="1:13" x14ac:dyDescent="0.2">
      <c r="A52" s="1">
        <v>51</v>
      </c>
      <c r="B52" s="2" t="s">
        <v>83</v>
      </c>
      <c r="C52" s="2" t="s">
        <v>12</v>
      </c>
      <c r="D52" s="2" t="s">
        <v>82</v>
      </c>
      <c r="E52" s="2"/>
      <c r="F52" s="2">
        <v>2017</v>
      </c>
      <c r="G52" s="3">
        <v>43470</v>
      </c>
      <c r="H52" s="4">
        <v>11.75</v>
      </c>
      <c r="I52" s="4">
        <v>54.8</v>
      </c>
      <c r="J52" s="4">
        <v>1.1299999999999999</v>
      </c>
      <c r="K52" s="4">
        <v>1.2</v>
      </c>
      <c r="L52" s="5">
        <v>0.73</v>
      </c>
      <c r="M52" s="2"/>
    </row>
    <row r="53" spans="1:13" x14ac:dyDescent="0.2">
      <c r="A53" s="1">
        <v>52</v>
      </c>
      <c r="B53" s="2" t="s">
        <v>96</v>
      </c>
      <c r="C53" s="2" t="s">
        <v>14</v>
      </c>
      <c r="D53" s="2" t="s">
        <v>97</v>
      </c>
      <c r="E53" s="2"/>
      <c r="F53" s="2">
        <v>2007</v>
      </c>
      <c r="G53" s="3">
        <v>43470</v>
      </c>
      <c r="H53" s="4">
        <v>34.6</v>
      </c>
      <c r="I53" s="4">
        <v>51.1</v>
      </c>
      <c r="J53" s="4">
        <v>0.127</v>
      </c>
      <c r="K53" s="4">
        <v>0.37</v>
      </c>
      <c r="L53" s="5">
        <v>3.79</v>
      </c>
      <c r="M53" s="2"/>
    </row>
    <row r="54" spans="1:13" x14ac:dyDescent="0.2">
      <c r="A54" s="1">
        <v>53</v>
      </c>
      <c r="B54" s="2" t="s">
        <v>103</v>
      </c>
      <c r="C54" s="2" t="s">
        <v>12</v>
      </c>
      <c r="D54" s="2" t="s">
        <v>102</v>
      </c>
      <c r="F54" s="2">
        <v>2017</v>
      </c>
      <c r="G54" s="7">
        <v>43478</v>
      </c>
      <c r="H54" s="4">
        <v>90.6</v>
      </c>
      <c r="I54" s="4">
        <v>136.9</v>
      </c>
      <c r="J54" s="4">
        <v>10</v>
      </c>
      <c r="K54" s="4">
        <v>7.6</v>
      </c>
      <c r="L54" s="5">
        <v>1.8</v>
      </c>
    </row>
    <row r="55" spans="1:13" x14ac:dyDescent="0.2">
      <c r="A55" s="1">
        <v>54</v>
      </c>
      <c r="B55" s="2" t="s">
        <v>104</v>
      </c>
      <c r="C55" s="2" t="s">
        <v>12</v>
      </c>
      <c r="D55" s="2" t="s">
        <v>105</v>
      </c>
      <c r="F55" s="2">
        <v>2017</v>
      </c>
      <c r="G55" s="7">
        <v>43478</v>
      </c>
      <c r="H55" s="4">
        <v>124.5</v>
      </c>
      <c r="I55" s="4">
        <v>385</v>
      </c>
      <c r="J55" s="4">
        <v>38.4</v>
      </c>
      <c r="K55" s="4">
        <v>19.3</v>
      </c>
      <c r="L55" s="5">
        <v>7.7</v>
      </c>
    </row>
    <row r="56" spans="1:13" x14ac:dyDescent="0.2">
      <c r="A56" s="1">
        <v>55</v>
      </c>
      <c r="B56" s="2" t="s">
        <v>107</v>
      </c>
      <c r="C56" s="2" t="s">
        <v>12</v>
      </c>
      <c r="D56" s="2" t="s">
        <v>106</v>
      </c>
      <c r="F56" s="2">
        <v>2018</v>
      </c>
      <c r="G56" s="7">
        <v>43478</v>
      </c>
      <c r="H56" s="4">
        <v>119</v>
      </c>
      <c r="I56" s="4">
        <v>92.9</v>
      </c>
      <c r="J56" s="4">
        <v>18.100000000000001</v>
      </c>
      <c r="K56" s="4">
        <v>5.2</v>
      </c>
      <c r="L56" s="5">
        <v>4</v>
      </c>
    </row>
    <row r="57" spans="1:13" x14ac:dyDescent="0.2">
      <c r="A57" s="1">
        <v>56</v>
      </c>
      <c r="B57" s="2" t="s">
        <v>108</v>
      </c>
      <c r="C57" s="2" t="s">
        <v>12</v>
      </c>
      <c r="D57" s="2" t="s">
        <v>102</v>
      </c>
      <c r="F57" s="2">
        <v>2018</v>
      </c>
      <c r="G57" s="7">
        <v>43478</v>
      </c>
      <c r="H57" s="4">
        <v>99.9</v>
      </c>
      <c r="I57" s="4">
        <v>133</v>
      </c>
      <c r="J57" s="4">
        <v>22.4</v>
      </c>
      <c r="K57" s="4">
        <v>8.1</v>
      </c>
      <c r="L57" s="5">
        <v>1.8</v>
      </c>
    </row>
    <row r="58" spans="1:13" x14ac:dyDescent="0.2">
      <c r="A58" s="1">
        <v>57</v>
      </c>
      <c r="B58" s="2" t="s">
        <v>110</v>
      </c>
      <c r="C58" s="2" t="s">
        <v>12</v>
      </c>
      <c r="D58" s="2" t="s">
        <v>111</v>
      </c>
      <c r="F58" s="2">
        <v>2018</v>
      </c>
      <c r="G58" s="7">
        <v>43478</v>
      </c>
      <c r="H58" s="4">
        <v>123.8</v>
      </c>
      <c r="I58" s="4">
        <v>376.7</v>
      </c>
      <c r="J58" s="4">
        <v>37.299999999999997</v>
      </c>
      <c r="K58" s="4">
        <v>17.5</v>
      </c>
      <c r="L58" s="5">
        <v>5.7</v>
      </c>
    </row>
    <row r="59" spans="1:13" x14ac:dyDescent="0.2">
      <c r="A59" s="1">
        <v>58</v>
      </c>
      <c r="B59" s="2" t="s">
        <v>109</v>
      </c>
      <c r="C59" s="2" t="s">
        <v>12</v>
      </c>
      <c r="D59" s="2" t="s">
        <v>105</v>
      </c>
      <c r="F59" s="2">
        <v>2018</v>
      </c>
      <c r="G59" s="7">
        <v>43478</v>
      </c>
      <c r="H59" s="4">
        <v>140.80000000000001</v>
      </c>
      <c r="I59" s="4">
        <v>447.7</v>
      </c>
      <c r="J59" s="4">
        <v>51.1</v>
      </c>
      <c r="K59" s="4">
        <v>23.9</v>
      </c>
      <c r="L59" s="5">
        <v>7.4</v>
      </c>
    </row>
    <row r="60" spans="1:13" x14ac:dyDescent="0.2">
      <c r="A60" s="1">
        <v>59</v>
      </c>
      <c r="B60" s="2" t="s">
        <v>112</v>
      </c>
      <c r="C60" s="2" t="s">
        <v>12</v>
      </c>
      <c r="D60" s="2" t="s">
        <v>113</v>
      </c>
      <c r="F60" s="2">
        <v>2018</v>
      </c>
      <c r="G60" s="7">
        <v>43478</v>
      </c>
      <c r="H60" s="4">
        <v>60.9</v>
      </c>
      <c r="I60" s="4">
        <v>210</v>
      </c>
      <c r="J60" s="4">
        <v>1.4</v>
      </c>
      <c r="K60" s="4">
        <v>7.7</v>
      </c>
      <c r="L60" s="5">
        <v>3.9</v>
      </c>
    </row>
    <row r="61" spans="1:13" x14ac:dyDescent="0.2">
      <c r="A61" s="1">
        <v>60</v>
      </c>
      <c r="B61" s="2" t="s">
        <v>114</v>
      </c>
      <c r="C61" s="2" t="s">
        <v>12</v>
      </c>
      <c r="D61" s="2" t="s">
        <v>115</v>
      </c>
      <c r="F61" s="2">
        <v>2017</v>
      </c>
      <c r="G61" s="7">
        <v>43478</v>
      </c>
      <c r="H61" s="4">
        <v>57.8</v>
      </c>
      <c r="I61" s="4">
        <v>196.8</v>
      </c>
      <c r="J61" s="4">
        <v>3.5</v>
      </c>
      <c r="K61" s="4">
        <v>8.8000000000000007</v>
      </c>
      <c r="L61" s="5">
        <v>3.8</v>
      </c>
    </row>
    <row r="62" spans="1:13" x14ac:dyDescent="0.2">
      <c r="A62" s="1">
        <v>61</v>
      </c>
      <c r="B62" s="2" t="s">
        <v>116</v>
      </c>
      <c r="C62" s="2" t="s">
        <v>12</v>
      </c>
      <c r="D62" s="2" t="s">
        <v>117</v>
      </c>
      <c r="F62" s="2">
        <v>2017</v>
      </c>
      <c r="G62" s="7">
        <v>43478</v>
      </c>
      <c r="H62" s="4">
        <v>115.9</v>
      </c>
      <c r="I62" s="4">
        <v>469.4</v>
      </c>
      <c r="J62" s="4">
        <v>2.5</v>
      </c>
      <c r="K62" s="4">
        <v>13</v>
      </c>
      <c r="L62" s="5">
        <v>5.9</v>
      </c>
    </row>
    <row r="63" spans="1:13" x14ac:dyDescent="0.2">
      <c r="A63" s="1">
        <v>62</v>
      </c>
      <c r="B63" s="2" t="s">
        <v>118</v>
      </c>
      <c r="C63" s="2" t="s">
        <v>12</v>
      </c>
      <c r="D63" s="2" t="s">
        <v>119</v>
      </c>
      <c r="F63" s="2">
        <v>2018</v>
      </c>
      <c r="G63" s="7">
        <v>43478</v>
      </c>
      <c r="H63" s="4">
        <v>98.5</v>
      </c>
      <c r="I63" s="4">
        <v>148.5</v>
      </c>
      <c r="J63" s="4">
        <v>3.7</v>
      </c>
      <c r="K63" s="4">
        <v>8.5</v>
      </c>
      <c r="L63" s="5">
        <v>4.7</v>
      </c>
    </row>
    <row r="64" spans="1:13" x14ac:dyDescent="0.2">
      <c r="A64" s="1">
        <v>63</v>
      </c>
      <c r="B64" s="2" t="s">
        <v>120</v>
      </c>
      <c r="C64" s="2" t="s">
        <v>12</v>
      </c>
      <c r="D64" s="2" t="s">
        <v>121</v>
      </c>
      <c r="F64" s="2">
        <v>2016</v>
      </c>
      <c r="G64" s="7">
        <v>43478</v>
      </c>
      <c r="H64" s="4">
        <v>40.200000000000003</v>
      </c>
      <c r="I64" s="4">
        <v>72.099999999999994</v>
      </c>
      <c r="J64" s="4">
        <v>2.6</v>
      </c>
      <c r="K64" s="4">
        <v>5.3</v>
      </c>
      <c r="L64" s="5">
        <v>0.79</v>
      </c>
    </row>
    <row r="65" spans="1:12" x14ac:dyDescent="0.2">
      <c r="A65" s="1">
        <v>64</v>
      </c>
      <c r="B65" s="2" t="s">
        <v>123</v>
      </c>
      <c r="C65" s="2" t="s">
        <v>12</v>
      </c>
      <c r="D65" s="2" t="s">
        <v>122</v>
      </c>
      <c r="F65" s="2">
        <v>2017</v>
      </c>
      <c r="G65" s="7">
        <v>43478</v>
      </c>
      <c r="H65" s="4">
        <v>120</v>
      </c>
      <c r="I65" s="4">
        <v>245.9</v>
      </c>
      <c r="J65" s="4">
        <v>5.9</v>
      </c>
      <c r="K65" s="4">
        <v>11.6</v>
      </c>
      <c r="L65" s="5">
        <v>7.4</v>
      </c>
    </row>
    <row r="66" spans="1:12" x14ac:dyDescent="0.2">
      <c r="A66" s="1">
        <v>65</v>
      </c>
      <c r="B66" s="2" t="s">
        <v>124</v>
      </c>
      <c r="C66" s="2" t="s">
        <v>12</v>
      </c>
      <c r="D66" s="2" t="s">
        <v>69</v>
      </c>
      <c r="F66" s="2">
        <v>2018</v>
      </c>
      <c r="G66" s="7">
        <v>43113</v>
      </c>
      <c r="H66" s="4">
        <v>97.8</v>
      </c>
      <c r="I66" s="4">
        <v>169.7</v>
      </c>
      <c r="J66" s="4">
        <v>21.1</v>
      </c>
      <c r="K66" s="4">
        <v>12.7</v>
      </c>
      <c r="L66" s="5">
        <v>3.5</v>
      </c>
    </row>
    <row r="67" spans="1:12" x14ac:dyDescent="0.2">
      <c r="A67" s="1">
        <v>66</v>
      </c>
      <c r="B67" s="2" t="s">
        <v>125</v>
      </c>
      <c r="C67" s="2" t="s">
        <v>12</v>
      </c>
      <c r="D67" s="2" t="s">
        <v>126</v>
      </c>
      <c r="F67" s="2">
        <v>2017</v>
      </c>
      <c r="G67" s="7">
        <v>43113</v>
      </c>
      <c r="H67" s="4">
        <v>105.6</v>
      </c>
      <c r="I67" s="4">
        <v>481.6</v>
      </c>
      <c r="J67" s="4">
        <v>4.5</v>
      </c>
      <c r="K67" s="4">
        <v>11.3</v>
      </c>
      <c r="L67" s="5">
        <v>7.3</v>
      </c>
    </row>
    <row r="68" spans="1:12" x14ac:dyDescent="0.2">
      <c r="A68" s="1">
        <v>67</v>
      </c>
      <c r="B68" s="2" t="s">
        <v>127</v>
      </c>
      <c r="C68" s="2" t="s">
        <v>12</v>
      </c>
      <c r="D68" s="2" t="s">
        <v>131</v>
      </c>
      <c r="F68" s="2">
        <v>2018</v>
      </c>
      <c r="G68" s="7">
        <v>43113</v>
      </c>
      <c r="H68" s="4">
        <v>90.4</v>
      </c>
      <c r="I68" s="4">
        <v>253.4</v>
      </c>
      <c r="J68" s="4">
        <v>4.3</v>
      </c>
      <c r="K68" s="4">
        <v>13.8</v>
      </c>
      <c r="L68" s="5">
        <v>4.7</v>
      </c>
    </row>
    <row r="69" spans="1:12" x14ac:dyDescent="0.2">
      <c r="A69" s="1">
        <v>68</v>
      </c>
      <c r="B69" s="2" t="s">
        <v>132</v>
      </c>
      <c r="C69" s="2" t="s">
        <v>12</v>
      </c>
      <c r="D69" s="2" t="s">
        <v>133</v>
      </c>
      <c r="F69" s="2">
        <v>2018</v>
      </c>
      <c r="G69" s="7">
        <v>43113</v>
      </c>
      <c r="H69" s="4">
        <v>161.69999999999999</v>
      </c>
      <c r="I69" s="4">
        <v>353.4</v>
      </c>
      <c r="J69" s="4">
        <v>5.8</v>
      </c>
      <c r="K69" s="4">
        <v>9.3000000000000007</v>
      </c>
      <c r="L69" s="5">
        <v>8.5</v>
      </c>
    </row>
    <row r="70" spans="1:12" x14ac:dyDescent="0.2">
      <c r="A70" s="1">
        <v>69</v>
      </c>
      <c r="B70" s="2" t="s">
        <v>134</v>
      </c>
      <c r="C70" s="2" t="s">
        <v>12</v>
      </c>
      <c r="D70" s="2" t="s">
        <v>133</v>
      </c>
      <c r="F70" s="2">
        <v>2018</v>
      </c>
      <c r="G70" s="7">
        <v>43113</v>
      </c>
      <c r="H70" s="4">
        <v>96.2</v>
      </c>
      <c r="I70" s="4">
        <v>544.5</v>
      </c>
      <c r="J70" s="4">
        <v>4.2</v>
      </c>
      <c r="K70" s="4">
        <v>13.7</v>
      </c>
      <c r="L70" s="5">
        <v>8.1999999999999993</v>
      </c>
    </row>
    <row r="71" spans="1:12" x14ac:dyDescent="0.2">
      <c r="A71" s="1">
        <v>70</v>
      </c>
      <c r="B71" s="2" t="s">
        <v>136</v>
      </c>
      <c r="C71" s="2" t="s">
        <v>14</v>
      </c>
      <c r="D71" s="2" t="s">
        <v>135</v>
      </c>
      <c r="F71" s="2">
        <v>2018</v>
      </c>
      <c r="G71" s="7">
        <v>43113</v>
      </c>
      <c r="H71" s="4">
        <v>32.4</v>
      </c>
      <c r="I71" s="4">
        <v>135.13999999999999</v>
      </c>
      <c r="J71" s="4">
        <v>0.10100000000000001</v>
      </c>
      <c r="K71" s="4">
        <v>0.47499999999999998</v>
      </c>
      <c r="L71" s="5">
        <v>5.65</v>
      </c>
    </row>
    <row r="72" spans="1:12" x14ac:dyDescent="0.2">
      <c r="A72" s="1">
        <v>71</v>
      </c>
      <c r="B72" s="2" t="s">
        <v>137</v>
      </c>
      <c r="C72" s="2" t="s">
        <v>14</v>
      </c>
      <c r="D72" s="2" t="s">
        <v>138</v>
      </c>
      <c r="F72" s="2">
        <v>2018</v>
      </c>
      <c r="G72" s="7">
        <v>43113</v>
      </c>
      <c r="H72" s="4">
        <v>47.5</v>
      </c>
      <c r="I72" s="4">
        <v>89.6</v>
      </c>
      <c r="J72" s="4">
        <v>0.13700000000000001</v>
      </c>
      <c r="K72" s="4">
        <v>0.40799999999999997</v>
      </c>
      <c r="L72" s="5">
        <v>3.3</v>
      </c>
    </row>
    <row r="73" spans="1:12" x14ac:dyDescent="0.2">
      <c r="K73" s="4"/>
    </row>
  </sheetData>
  <autoFilter ref="A1:M53" xr:uid="{3D9C1FA4-6656-EA4A-9B66-4D5989FAEE48}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72"/>
  <sheetViews>
    <sheetView topLeftCell="A21" workbookViewId="0">
      <selection activeCell="A39" sqref="A1:A39"/>
    </sheetView>
  </sheetViews>
  <sheetFormatPr baseColWidth="10" defaultColWidth="8.83203125" defaultRowHeight="16" x14ac:dyDescent="0.2"/>
  <cols>
    <col min="1" max="1" width="54.1640625" customWidth="1"/>
  </cols>
  <sheetData>
    <row r="1" spans="1:1" x14ac:dyDescent="0.2">
      <c r="A1" t="str">
        <f>CONCATENATE("https://maxim-saplin.github.io/cpdt_results/?selected=",Results!A2)</f>
        <v>https://maxim-saplin.github.io/cpdt_results/?selected=1</v>
      </c>
    </row>
    <row r="2" spans="1:1" x14ac:dyDescent="0.2">
      <c r="A2" t="str">
        <f>CONCATENATE("https://maxim-saplin.github.io/cpdt_results/?selected=",Results!A3)</f>
        <v>https://maxim-saplin.github.io/cpdt_results/?selected=2</v>
      </c>
    </row>
    <row r="3" spans="1:1" x14ac:dyDescent="0.2">
      <c r="A3" t="str">
        <f>CONCATENATE("https://maxim-saplin.github.io/cpdt_results/?selected=",Results!A4)</f>
        <v>https://maxim-saplin.github.io/cpdt_results/?selected=3</v>
      </c>
    </row>
    <row r="4" spans="1:1" x14ac:dyDescent="0.2">
      <c r="A4" t="str">
        <f>CONCATENATE("https://maxim-saplin.github.io/cpdt_results/?selected=",Results!A5)</f>
        <v>https://maxim-saplin.github.io/cpdt_results/?selected=4</v>
      </c>
    </row>
    <row r="5" spans="1:1" x14ac:dyDescent="0.2">
      <c r="A5" t="str">
        <f>CONCATENATE("https://maxim-saplin.github.io/cpdt_results/?selected=",Results!A6)</f>
        <v>https://maxim-saplin.github.io/cpdt_results/?selected=5</v>
      </c>
    </row>
    <row r="6" spans="1:1" x14ac:dyDescent="0.2">
      <c r="A6" t="str">
        <f>CONCATENATE("https://maxim-saplin.github.io/cpdt_results/?selected=",Results!A7)</f>
        <v>https://maxim-saplin.github.io/cpdt_results/?selected=6</v>
      </c>
    </row>
    <row r="7" spans="1:1" x14ac:dyDescent="0.2">
      <c r="A7" t="str">
        <f>CONCATENATE("https://maxim-saplin.github.io/cpdt_results/?selected=",Results!A8)</f>
        <v>https://maxim-saplin.github.io/cpdt_results/?selected=7</v>
      </c>
    </row>
    <row r="8" spans="1:1" x14ac:dyDescent="0.2">
      <c r="A8" t="str">
        <f>CONCATENATE("https://maxim-saplin.github.io/cpdt_results/?selected=",Results!A9)</f>
        <v>https://maxim-saplin.github.io/cpdt_results/?selected=8</v>
      </c>
    </row>
    <row r="9" spans="1:1" x14ac:dyDescent="0.2">
      <c r="A9" t="str">
        <f>CONCATENATE("https://maxim-saplin.github.io/cpdt_results/?selected=",Results!A10)</f>
        <v>https://maxim-saplin.github.io/cpdt_results/?selected=9</v>
      </c>
    </row>
    <row r="10" spans="1:1" x14ac:dyDescent="0.2">
      <c r="A10" t="str">
        <f>CONCATENATE("https://maxim-saplin.github.io/cpdt_results/?selected=",Results!A11)</f>
        <v>https://maxim-saplin.github.io/cpdt_results/?selected=10</v>
      </c>
    </row>
    <row r="11" spans="1:1" x14ac:dyDescent="0.2">
      <c r="A11" t="str">
        <f>CONCATENATE("https://maxim-saplin.github.io/cpdt_results/?selected=",Results!A12)</f>
        <v>https://maxim-saplin.github.io/cpdt_results/?selected=11</v>
      </c>
    </row>
    <row r="12" spans="1:1" x14ac:dyDescent="0.2">
      <c r="A12" t="str">
        <f>CONCATENATE("https://maxim-saplin.github.io/cpdt_results/?selected=",Results!A13)</f>
        <v>https://maxim-saplin.github.io/cpdt_results/?selected=12</v>
      </c>
    </row>
    <row r="13" spans="1:1" x14ac:dyDescent="0.2">
      <c r="A13" t="str">
        <f>CONCATENATE("https://maxim-saplin.github.io/cpdt_results/?selected=",Results!A14)</f>
        <v>https://maxim-saplin.github.io/cpdt_results/?selected=13</v>
      </c>
    </row>
    <row r="14" spans="1:1" x14ac:dyDescent="0.2">
      <c r="A14" t="str">
        <f>CONCATENATE("https://maxim-saplin.github.io/cpdt_results/?selected=",Results!A15)</f>
        <v>https://maxim-saplin.github.io/cpdt_results/?selected=14</v>
      </c>
    </row>
    <row r="15" spans="1:1" x14ac:dyDescent="0.2">
      <c r="A15" t="str">
        <f>CONCATENATE("https://maxim-saplin.github.io/cpdt_results/?selected=",Results!A16)</f>
        <v>https://maxim-saplin.github.io/cpdt_results/?selected=15</v>
      </c>
    </row>
    <row r="16" spans="1:1" x14ac:dyDescent="0.2">
      <c r="A16" t="str">
        <f>CONCATENATE("https://maxim-saplin.github.io/cpdt_results/?selected=",Results!A17)</f>
        <v>https://maxim-saplin.github.io/cpdt_results/?selected=16</v>
      </c>
    </row>
    <row r="17" spans="1:1" x14ac:dyDescent="0.2">
      <c r="A17" t="str">
        <f>CONCATENATE("https://maxim-saplin.github.io/cpdt_results/?selected=",Results!A18)</f>
        <v>https://maxim-saplin.github.io/cpdt_results/?selected=17</v>
      </c>
    </row>
    <row r="18" spans="1:1" x14ac:dyDescent="0.2">
      <c r="A18" t="str">
        <f>CONCATENATE("https://maxim-saplin.github.io/cpdt_results/?selected=",Results!A19)</f>
        <v>https://maxim-saplin.github.io/cpdt_results/?selected=18</v>
      </c>
    </row>
    <row r="19" spans="1:1" x14ac:dyDescent="0.2">
      <c r="A19" t="str">
        <f>CONCATENATE("https://maxim-saplin.github.io/cpdt_results/?selected=",Results!A20)</f>
        <v>https://maxim-saplin.github.io/cpdt_results/?selected=19</v>
      </c>
    </row>
    <row r="20" spans="1:1" x14ac:dyDescent="0.2">
      <c r="A20" t="str">
        <f>CONCATENATE("https://maxim-saplin.github.io/cpdt_results/?selected=",Results!A21)</f>
        <v>https://maxim-saplin.github.io/cpdt_results/?selected=20</v>
      </c>
    </row>
    <row r="21" spans="1:1" x14ac:dyDescent="0.2">
      <c r="A21" t="str">
        <f>CONCATENATE("https://maxim-saplin.github.io/cpdt_results/?selected=",Results!A22)</f>
        <v>https://maxim-saplin.github.io/cpdt_results/?selected=21</v>
      </c>
    </row>
    <row r="22" spans="1:1" x14ac:dyDescent="0.2">
      <c r="A22" t="str">
        <f>CONCATENATE("https://maxim-saplin.github.io/cpdt_results/?selected=",Results!A23)</f>
        <v>https://maxim-saplin.github.io/cpdt_results/?selected=22</v>
      </c>
    </row>
    <row r="23" spans="1:1" x14ac:dyDescent="0.2">
      <c r="A23" t="str">
        <f>CONCATENATE("https://maxim-saplin.github.io/cpdt_results/?selected=",Results!A24)</f>
        <v>https://maxim-saplin.github.io/cpdt_results/?selected=23</v>
      </c>
    </row>
    <row r="24" spans="1:1" x14ac:dyDescent="0.2">
      <c r="A24" t="str">
        <f>CONCATENATE("https://maxim-saplin.github.io/cpdt_results/?selected=",Results!A25)</f>
        <v>https://maxim-saplin.github.io/cpdt_results/?selected=24</v>
      </c>
    </row>
    <row r="25" spans="1:1" x14ac:dyDescent="0.2">
      <c r="A25" t="str">
        <f>CONCATENATE("https://maxim-saplin.github.io/cpdt_results/?selected=",Results!A26)</f>
        <v>https://maxim-saplin.github.io/cpdt_results/?selected=25</v>
      </c>
    </row>
    <row r="26" spans="1:1" x14ac:dyDescent="0.2">
      <c r="A26" t="str">
        <f>CONCATENATE("https://maxim-saplin.github.io/cpdt_results/?selected=",Results!A27)</f>
        <v>https://maxim-saplin.github.io/cpdt_results/?selected=26</v>
      </c>
    </row>
    <row r="27" spans="1:1" x14ac:dyDescent="0.2">
      <c r="A27" t="str">
        <f>CONCATENATE("https://maxim-saplin.github.io/cpdt_results/?selected=",Results!A28)</f>
        <v>https://maxim-saplin.github.io/cpdt_results/?selected=27</v>
      </c>
    </row>
    <row r="28" spans="1:1" x14ac:dyDescent="0.2">
      <c r="A28" t="str">
        <f>CONCATENATE("https://maxim-saplin.github.io/cpdt_results/?selected=",Results!A29)</f>
        <v>https://maxim-saplin.github.io/cpdt_results/?selected=28</v>
      </c>
    </row>
    <row r="29" spans="1:1" x14ac:dyDescent="0.2">
      <c r="A29" t="str">
        <f>CONCATENATE("https://maxim-saplin.github.io/cpdt_results/?selected=",Results!A30)</f>
        <v>https://maxim-saplin.github.io/cpdt_results/?selected=29</v>
      </c>
    </row>
    <row r="30" spans="1:1" x14ac:dyDescent="0.2">
      <c r="A30" t="str">
        <f>CONCATENATE("https://maxim-saplin.github.io/cpdt_results/?selected=",Results!A31)</f>
        <v>https://maxim-saplin.github.io/cpdt_results/?selected=30</v>
      </c>
    </row>
    <row r="31" spans="1:1" x14ac:dyDescent="0.2">
      <c r="A31" t="str">
        <f>CONCATENATE("https://maxim-saplin.github.io/cpdt_results/?selected=",Results!A32)</f>
        <v>https://maxim-saplin.github.io/cpdt_results/?selected=31</v>
      </c>
    </row>
    <row r="32" spans="1:1" x14ac:dyDescent="0.2">
      <c r="A32" t="str">
        <f>CONCATENATE("https://maxim-saplin.github.io/cpdt_results/?selected=",Results!A33)</f>
        <v>https://maxim-saplin.github.io/cpdt_results/?selected=32</v>
      </c>
    </row>
    <row r="33" spans="1:1" x14ac:dyDescent="0.2">
      <c r="A33" t="str">
        <f>CONCATENATE("https://maxim-saplin.github.io/cpdt_results/?selected=",Results!A34)</f>
        <v>https://maxim-saplin.github.io/cpdt_results/?selected=33</v>
      </c>
    </row>
    <row r="34" spans="1:1" x14ac:dyDescent="0.2">
      <c r="A34" t="str">
        <f>CONCATENATE("https://maxim-saplin.github.io/cpdt_results/?selected=",Results!A35)</f>
        <v>https://maxim-saplin.github.io/cpdt_results/?selected=34</v>
      </c>
    </row>
    <row r="35" spans="1:1" x14ac:dyDescent="0.2">
      <c r="A35" t="str">
        <f>CONCATENATE("https://maxim-saplin.github.io/cpdt_results/?selected=",Results!A36)</f>
        <v>https://maxim-saplin.github.io/cpdt_results/?selected=35</v>
      </c>
    </row>
    <row r="36" spans="1:1" x14ac:dyDescent="0.2">
      <c r="A36" t="str">
        <f>CONCATENATE("https://maxim-saplin.github.io/cpdt_results/?selected=",Results!A37)</f>
        <v>https://maxim-saplin.github.io/cpdt_results/?selected=36</v>
      </c>
    </row>
    <row r="37" spans="1:1" x14ac:dyDescent="0.2">
      <c r="A37" t="str">
        <f>CONCATENATE("https://maxim-saplin.github.io/cpdt_results/?selected=",Results!A38)</f>
        <v>https://maxim-saplin.github.io/cpdt_results/?selected=37</v>
      </c>
    </row>
    <row r="38" spans="1:1" x14ac:dyDescent="0.2">
      <c r="A38" t="str">
        <f>CONCATENATE("https://maxim-saplin.github.io/cpdt_results/?selected=",Results!A39)</f>
        <v>https://maxim-saplin.github.io/cpdt_results/?selected=38</v>
      </c>
    </row>
    <row r="39" spans="1:1" x14ac:dyDescent="0.2">
      <c r="A39" t="str">
        <f>CONCATENATE("https://maxim-saplin.github.io/cpdt_results/?selected=",Results!A40)</f>
        <v>https://maxim-saplin.github.io/cpdt_results/?selected=39</v>
      </c>
    </row>
    <row r="40" spans="1:1" x14ac:dyDescent="0.2">
      <c r="A40" t="str">
        <f>CONCATENATE("https://maxim-saplin.github.io/cpdt_results/?selected=",Results!A41)</f>
        <v>https://maxim-saplin.github.io/cpdt_results/?selected=40</v>
      </c>
    </row>
    <row r="41" spans="1:1" x14ac:dyDescent="0.2">
      <c r="A41" t="str">
        <f>CONCATENATE("https://maxim-saplin.github.io/cpdt_results/?selected=",Results!A42)</f>
        <v>https://maxim-saplin.github.io/cpdt_results/?selected=41</v>
      </c>
    </row>
    <row r="42" spans="1:1" x14ac:dyDescent="0.2">
      <c r="A42" t="str">
        <f>CONCATENATE("https://maxim-saplin.github.io/cpdt_results/?selected=",Results!A43)</f>
        <v>https://maxim-saplin.github.io/cpdt_results/?selected=42</v>
      </c>
    </row>
    <row r="43" spans="1:1" x14ac:dyDescent="0.2">
      <c r="A43" t="str">
        <f>CONCATENATE("https://maxim-saplin.github.io/cpdt_results/?selected=",Results!A44)</f>
        <v>https://maxim-saplin.github.io/cpdt_results/?selected=43</v>
      </c>
    </row>
    <row r="44" spans="1:1" x14ac:dyDescent="0.2">
      <c r="A44" t="str">
        <f>CONCATENATE("https://maxim-saplin.github.io/cpdt_results/?selected=",Results!A45)</f>
        <v>https://maxim-saplin.github.io/cpdt_results/?selected=44</v>
      </c>
    </row>
    <row r="45" spans="1:1" x14ac:dyDescent="0.2">
      <c r="A45" t="str">
        <f>CONCATENATE("https://maxim-saplin.github.io/cpdt_results/?selected=",Results!A46)</f>
        <v>https://maxim-saplin.github.io/cpdt_results/?selected=45</v>
      </c>
    </row>
    <row r="46" spans="1:1" x14ac:dyDescent="0.2">
      <c r="A46" t="str">
        <f>CONCATENATE("https://maxim-saplin.github.io/cpdt_results/?selected=",Results!A47)</f>
        <v>https://maxim-saplin.github.io/cpdt_results/?selected=46</v>
      </c>
    </row>
    <row r="47" spans="1:1" x14ac:dyDescent="0.2">
      <c r="A47" t="str">
        <f>CONCATENATE("https://maxim-saplin.github.io/cpdt_results/?selected=",Results!A48)</f>
        <v>https://maxim-saplin.github.io/cpdt_results/?selected=47</v>
      </c>
    </row>
    <row r="48" spans="1:1" x14ac:dyDescent="0.2">
      <c r="A48" t="str">
        <f>CONCATENATE("https://maxim-saplin.github.io/cpdt_results/?selected=",Results!A49)</f>
        <v>https://maxim-saplin.github.io/cpdt_results/?selected=48</v>
      </c>
    </row>
    <row r="49" spans="1:1" x14ac:dyDescent="0.2">
      <c r="A49" t="str">
        <f>CONCATENATE("https://maxim-saplin.github.io/cpdt_results/?selected=",Results!A50)</f>
        <v>https://maxim-saplin.github.io/cpdt_results/?selected=49</v>
      </c>
    </row>
    <row r="50" spans="1:1" x14ac:dyDescent="0.2">
      <c r="A50" t="str">
        <f>CONCATENATE("https://maxim-saplin.github.io/cpdt_results/?selected=",Results!A51)</f>
        <v>https://maxim-saplin.github.io/cpdt_results/?selected=50</v>
      </c>
    </row>
    <row r="51" spans="1:1" x14ac:dyDescent="0.2">
      <c r="A51" t="str">
        <f>CONCATENATE("https://maxim-saplin.github.io/cpdt_results/?selected=",Results!A52)</f>
        <v>https://maxim-saplin.github.io/cpdt_results/?selected=51</v>
      </c>
    </row>
    <row r="52" spans="1:1" x14ac:dyDescent="0.2">
      <c r="A52" t="str">
        <f>CONCATENATE("https://maxim-saplin.github.io/cpdt_results/?selected=",Results!A53)</f>
        <v>https://maxim-saplin.github.io/cpdt_results/?selected=52</v>
      </c>
    </row>
    <row r="53" spans="1:1" x14ac:dyDescent="0.2">
      <c r="A53" t="str">
        <f>CONCATENATE("https://maxim-saplin.github.io/cpdt_results/?selected=",Results!A54)</f>
        <v>https://maxim-saplin.github.io/cpdt_results/?selected=53</v>
      </c>
    </row>
    <row r="54" spans="1:1" x14ac:dyDescent="0.2">
      <c r="A54" t="str">
        <f>CONCATENATE("https://maxim-saplin.github.io/cpdt_results/?selected=",Results!A55)</f>
        <v>https://maxim-saplin.github.io/cpdt_results/?selected=54</v>
      </c>
    </row>
    <row r="55" spans="1:1" x14ac:dyDescent="0.2">
      <c r="A55" t="str">
        <f>CONCATENATE("https://maxim-saplin.github.io/cpdt_results/?selected=",Results!A56)</f>
        <v>https://maxim-saplin.github.io/cpdt_results/?selected=55</v>
      </c>
    </row>
    <row r="56" spans="1:1" x14ac:dyDescent="0.2">
      <c r="A56" t="str">
        <f>CONCATENATE("https://maxim-saplin.github.io/cpdt_results/?selected=",Results!A57)</f>
        <v>https://maxim-saplin.github.io/cpdt_results/?selected=56</v>
      </c>
    </row>
    <row r="57" spans="1:1" x14ac:dyDescent="0.2">
      <c r="A57" t="str">
        <f>CONCATENATE("https://maxim-saplin.github.io/cpdt_results/?selected=",Results!A58)</f>
        <v>https://maxim-saplin.github.io/cpdt_results/?selected=57</v>
      </c>
    </row>
    <row r="58" spans="1:1" x14ac:dyDescent="0.2">
      <c r="A58" t="str">
        <f>CONCATENATE("https://maxim-saplin.github.io/cpdt_results/?selected=",Results!A59)</f>
        <v>https://maxim-saplin.github.io/cpdt_results/?selected=58</v>
      </c>
    </row>
    <row r="59" spans="1:1" x14ac:dyDescent="0.2">
      <c r="A59" t="str">
        <f>CONCATENATE("https://maxim-saplin.github.io/cpdt_results/?selected=",Results!A60)</f>
        <v>https://maxim-saplin.github.io/cpdt_results/?selected=59</v>
      </c>
    </row>
    <row r="60" spans="1:1" x14ac:dyDescent="0.2">
      <c r="A60" t="str">
        <f>CONCATENATE("https://maxim-saplin.github.io/cpdt_results/?selected=",Results!A61)</f>
        <v>https://maxim-saplin.github.io/cpdt_results/?selected=60</v>
      </c>
    </row>
    <row r="61" spans="1:1" x14ac:dyDescent="0.2">
      <c r="A61" t="str">
        <f>CONCATENATE("https://maxim-saplin.github.io/cpdt_results/?selected=",Results!A62)</f>
        <v>https://maxim-saplin.github.io/cpdt_results/?selected=61</v>
      </c>
    </row>
    <row r="62" spans="1:1" x14ac:dyDescent="0.2">
      <c r="A62" t="str">
        <f>CONCATENATE("https://maxim-saplin.github.io/cpdt_results/?selected=",Results!A63)</f>
        <v>https://maxim-saplin.github.io/cpdt_results/?selected=62</v>
      </c>
    </row>
    <row r="63" spans="1:1" x14ac:dyDescent="0.2">
      <c r="A63" t="str">
        <f>CONCATENATE("https://maxim-saplin.github.io/cpdt_results/?selected=",Results!A64)</f>
        <v>https://maxim-saplin.github.io/cpdt_results/?selected=63</v>
      </c>
    </row>
    <row r="64" spans="1:1" x14ac:dyDescent="0.2">
      <c r="A64" t="str">
        <f>CONCATENATE("https://maxim-saplin.github.io/cpdt_results/?selected=",Results!A65)</f>
        <v>https://maxim-saplin.github.io/cpdt_results/?selected=64</v>
      </c>
    </row>
    <row r="65" spans="1:1" x14ac:dyDescent="0.2">
      <c r="A65" t="str">
        <f>CONCATENATE("https://maxim-saplin.github.io/cpdt_results/?selected=",Results!A66)</f>
        <v>https://maxim-saplin.github.io/cpdt_results/?selected=65</v>
      </c>
    </row>
    <row r="66" spans="1:1" x14ac:dyDescent="0.2">
      <c r="A66" t="str">
        <f>CONCATENATE("https://maxim-saplin.github.io/cpdt_results/?selected=",Results!A67)</f>
        <v>https://maxim-saplin.github.io/cpdt_results/?selected=66</v>
      </c>
    </row>
    <row r="67" spans="1:1" x14ac:dyDescent="0.2">
      <c r="A67" t="str">
        <f>CONCATENATE("https://maxim-saplin.github.io/cpdt_results/?selected=",Results!A68)</f>
        <v>https://maxim-saplin.github.io/cpdt_results/?selected=67</v>
      </c>
    </row>
    <row r="68" spans="1:1" x14ac:dyDescent="0.2">
      <c r="A68" t="str">
        <f>CONCATENATE("https://maxim-saplin.github.io/cpdt_results/?selected=",Results!A69)</f>
        <v>https://maxim-saplin.github.io/cpdt_results/?selected=68</v>
      </c>
    </row>
    <row r="69" spans="1:1" x14ac:dyDescent="0.2">
      <c r="A69" t="str">
        <f>CONCATENATE("https://maxim-saplin.github.io/cpdt_results/?selected=",Results!A70)</f>
        <v>https://maxim-saplin.github.io/cpdt_results/?selected=69</v>
      </c>
    </row>
    <row r="70" spans="1:1" x14ac:dyDescent="0.2">
      <c r="A70" t="str">
        <f>CONCATENATE("https://maxim-saplin.github.io/cpdt_results/?selected=",Results!A71)</f>
        <v>https://maxim-saplin.github.io/cpdt_results/?selected=70</v>
      </c>
    </row>
    <row r="71" spans="1:1" x14ac:dyDescent="0.2">
      <c r="A71" t="str">
        <f>CONCATENATE("https://maxim-saplin.github.io/cpdt_results/?selected=",Results!A72)</f>
        <v>https://maxim-saplin.github.io/cpdt_results/?selected=71</v>
      </c>
    </row>
    <row r="72" spans="1:1" x14ac:dyDescent="0.2">
      <c r="A72" t="str">
        <f>CONCATENATE("https://maxim-saplin.github.io/cpdt_results/?selected=",Results!A73)</f>
        <v>https://maxim-saplin.github.io/cpdt_results/?selected=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Results</vt:lpstr>
      <vt:lpstr>URLs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2018-11-24T17:37:54Z</dcterms:created>
  <dcterms:modified xsi:type="dcterms:W3CDTF">2019-01-14T20:17:15Z</dcterms:modified>
</cp:coreProperties>
</file>