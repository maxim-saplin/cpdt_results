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208" codeName="{51196F13-6AD0-C1B8-E2B4-A1F9AE17003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smax/Dropbox/DiskTest/_Src/cpdt_results/"/>
    </mc:Choice>
  </mc:AlternateContent>
  <xr:revisionPtr revIDLastSave="0" documentId="13_ncr:1_{79EBB5B8-A82F-EC41-BB5E-7D2B0C63A214}" xr6:coauthVersionLast="40" xr6:coauthVersionMax="40" xr10:uidLastSave="{00000000-0000-0000-0000-000000000000}"/>
  <bookViews>
    <workbookView xWindow="8660" yWindow="9920" windowWidth="23880" windowHeight="18620" xr2:uid="{00000000-000D-0000-FFFF-FFFF00000000}"/>
  </bookViews>
  <sheets>
    <sheet name="Results" sheetId="1" r:id="rId1"/>
    <sheet name="URLs" sheetId="2" r:id="rId2"/>
  </sheets>
  <definedNames>
    <definedName name="_xlnm._FilterDatabase" localSheetId="0" hidden="1">Results!$A$1:$M$106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06" i="2" l="1"/>
  <c r="B106" i="2" s="1"/>
  <c r="A107" i="2"/>
  <c r="B107" i="2" s="1"/>
  <c r="A108" i="2"/>
  <c r="B108" i="2" s="1"/>
  <c r="A96" i="2"/>
  <c r="B96" i="2" s="1"/>
  <c r="A97" i="2"/>
  <c r="B97" i="2" s="1"/>
  <c r="A98" i="2"/>
  <c r="B98" i="2" s="1"/>
  <c r="A99" i="2"/>
  <c r="B99" i="2" s="1"/>
  <c r="A100" i="2"/>
  <c r="B100" i="2" s="1"/>
  <c r="A101" i="2"/>
  <c r="B101" i="2" s="1"/>
  <c r="A102" i="2"/>
  <c r="B102" i="2" s="1"/>
  <c r="A103" i="2"/>
  <c r="B103" i="2" s="1"/>
  <c r="A104" i="2"/>
  <c r="B104" i="2" s="1"/>
  <c r="A105" i="2"/>
  <c r="B105" i="2" s="1"/>
  <c r="A92" i="2" l="1"/>
  <c r="B92" i="2" s="1"/>
  <c r="A93" i="2"/>
  <c r="B93" i="2" s="1"/>
  <c r="A94" i="2"/>
  <c r="B94" i="2" s="1"/>
  <c r="A95" i="2"/>
  <c r="B95" i="2" s="1"/>
  <c r="A91" i="2"/>
  <c r="B91" i="2" s="1"/>
  <c r="A1" i="2" l="1"/>
  <c r="B1" i="2" s="1"/>
  <c r="A2" i="2"/>
  <c r="B2" i="2" s="1"/>
  <c r="A3" i="2"/>
  <c r="B3" i="2" s="1"/>
  <c r="A4" i="2"/>
  <c r="B4" i="2" s="1"/>
  <c r="A5" i="2"/>
  <c r="B5" i="2" s="1"/>
  <c r="A6" i="2"/>
  <c r="B6" i="2" s="1"/>
  <c r="A7" i="2"/>
  <c r="B7" i="2" s="1"/>
  <c r="A8" i="2"/>
  <c r="B8" i="2" s="1"/>
  <c r="A9" i="2"/>
  <c r="B9" i="2" s="1"/>
  <c r="A10" i="2"/>
  <c r="B10" i="2" s="1"/>
  <c r="A11" i="2"/>
  <c r="B11" i="2" s="1"/>
  <c r="A12" i="2"/>
  <c r="B12" i="2" s="1"/>
  <c r="A13" i="2"/>
  <c r="B13" i="2" s="1"/>
  <c r="A14" i="2"/>
  <c r="B14" i="2" s="1"/>
  <c r="A15" i="2"/>
  <c r="B15" i="2" s="1"/>
  <c r="A16" i="2"/>
  <c r="B16" i="2" s="1"/>
  <c r="A17" i="2"/>
  <c r="B17" i="2" s="1"/>
  <c r="A18" i="2"/>
  <c r="B18" i="2" s="1"/>
  <c r="A19" i="2"/>
  <c r="B19" i="2" s="1"/>
  <c r="A20" i="2"/>
  <c r="B20" i="2" s="1"/>
  <c r="A21" i="2"/>
  <c r="B21" i="2" s="1"/>
  <c r="A22" i="2"/>
  <c r="B22" i="2" s="1"/>
  <c r="A23" i="2"/>
  <c r="B23" i="2" s="1"/>
  <c r="A24" i="2"/>
  <c r="B24" i="2" s="1"/>
  <c r="A25" i="2"/>
  <c r="B25" i="2" s="1"/>
  <c r="A26" i="2"/>
  <c r="B26" i="2" s="1"/>
  <c r="A27" i="2"/>
  <c r="B27" i="2" s="1"/>
  <c r="A28" i="2"/>
  <c r="B28" i="2" s="1"/>
  <c r="A29" i="2"/>
  <c r="B29" i="2" s="1"/>
  <c r="A30" i="2"/>
  <c r="B30" i="2" s="1"/>
  <c r="A31" i="2"/>
  <c r="B31" i="2" s="1"/>
  <c r="A32" i="2"/>
  <c r="B32" i="2" s="1"/>
  <c r="A33" i="2"/>
  <c r="B33" i="2" s="1"/>
  <c r="A34" i="2"/>
  <c r="B34" i="2" s="1"/>
  <c r="A35" i="2"/>
  <c r="B35" i="2" s="1"/>
  <c r="A36" i="2"/>
  <c r="B36" i="2" s="1"/>
  <c r="A37" i="2"/>
  <c r="B37" i="2" s="1"/>
  <c r="A38" i="2"/>
  <c r="B38" i="2" s="1"/>
  <c r="A39" i="2"/>
  <c r="B39" i="2" s="1"/>
  <c r="A40" i="2"/>
  <c r="B40" i="2" s="1"/>
  <c r="A41" i="2"/>
  <c r="B41" i="2" s="1"/>
  <c r="A42" i="2"/>
  <c r="B42" i="2" s="1"/>
  <c r="A43" i="2"/>
  <c r="B43" i="2" s="1"/>
  <c r="A44" i="2"/>
  <c r="B44" i="2" s="1"/>
  <c r="A45" i="2"/>
  <c r="B45" i="2" s="1"/>
  <c r="A46" i="2"/>
  <c r="B46" i="2" s="1"/>
  <c r="A47" i="2"/>
  <c r="B47" i="2" s="1"/>
  <c r="A48" i="2"/>
  <c r="B48" i="2" s="1"/>
  <c r="A49" i="2"/>
  <c r="B49" i="2" s="1"/>
  <c r="A50" i="2"/>
  <c r="B50" i="2" s="1"/>
  <c r="A51" i="2"/>
  <c r="B51" i="2" s="1"/>
  <c r="A53" i="2"/>
  <c r="B53" i="2" s="1"/>
  <c r="A54" i="2"/>
  <c r="B54" i="2" s="1"/>
  <c r="A55" i="2"/>
  <c r="B55" i="2" s="1"/>
  <c r="A56" i="2"/>
  <c r="B56" i="2" s="1"/>
  <c r="A57" i="2"/>
  <c r="B57" i="2" s="1"/>
  <c r="A58" i="2"/>
  <c r="B58" i="2" s="1"/>
  <c r="A59" i="2"/>
  <c r="B59" i="2" s="1"/>
  <c r="A60" i="2"/>
  <c r="B60" i="2" s="1"/>
  <c r="A61" i="2"/>
  <c r="B61" i="2" s="1"/>
  <c r="A62" i="2"/>
  <c r="B62" i="2" s="1"/>
  <c r="A63" i="2"/>
  <c r="B63" i="2" s="1"/>
  <c r="A64" i="2"/>
  <c r="B64" i="2" s="1"/>
  <c r="A65" i="2"/>
  <c r="B65" i="2" s="1"/>
  <c r="A66" i="2"/>
  <c r="B66" i="2" s="1"/>
  <c r="A67" i="2"/>
  <c r="B67" i="2" s="1"/>
  <c r="A68" i="2"/>
  <c r="B68" i="2" s="1"/>
  <c r="A69" i="2"/>
  <c r="B69" i="2" s="1"/>
  <c r="A70" i="2"/>
  <c r="B70" i="2" s="1"/>
  <c r="A71" i="2"/>
  <c r="B71" i="2" s="1"/>
  <c r="A72" i="2"/>
  <c r="B72" i="2" s="1"/>
  <c r="A73" i="2"/>
  <c r="B73" i="2" s="1"/>
  <c r="A74" i="2"/>
  <c r="B74" i="2" s="1"/>
  <c r="A75" i="2"/>
  <c r="B75" i="2" s="1"/>
  <c r="A76" i="2"/>
  <c r="B76" i="2" s="1"/>
  <c r="A77" i="2"/>
  <c r="B77" i="2" s="1"/>
  <c r="A78" i="2"/>
  <c r="B78" i="2" s="1"/>
  <c r="A79" i="2"/>
  <c r="B79" i="2" s="1"/>
  <c r="A80" i="2"/>
  <c r="B80" i="2" s="1"/>
  <c r="A81" i="2"/>
  <c r="B81" i="2" s="1"/>
  <c r="A82" i="2"/>
  <c r="B82" i="2" s="1"/>
  <c r="A83" i="2"/>
  <c r="B83" i="2" s="1"/>
  <c r="A84" i="2"/>
  <c r="B84" i="2" s="1"/>
  <c r="A85" i="2"/>
  <c r="B85" i="2" s="1"/>
  <c r="A86" i="2"/>
  <c r="B86" i="2" s="1"/>
  <c r="A87" i="2"/>
  <c r="B87" i="2" s="1"/>
  <c r="A88" i="2"/>
  <c r="B88" i="2" s="1"/>
  <c r="A89" i="2"/>
  <c r="B89" i="2" s="1"/>
  <c r="A90" i="2"/>
  <c r="B90" i="2" s="1"/>
  <c r="A52" i="2"/>
  <c r="B52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Hello</author>
    <author>smax</author>
    <author>M M</author>
  </authors>
  <commentList>
    <comment ref="G10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Hello:</t>
        </r>
        <r>
          <rPr>
            <sz val="9"/>
            <color indexed="81"/>
            <rFont val="Tahoma"/>
            <family val="2"/>
          </rPr>
          <t xml:space="preserve">
GA</t>
        </r>
      </text>
    </comment>
    <comment ref="B42" authorId="1" shapeId="0" xr:uid="{00000000-0006-0000-0000-000002000000}">
      <text>
        <r>
          <rPr>
            <b/>
            <sz val="10"/>
            <color rgb="FF000000"/>
            <rFont val="Tahoma"/>
            <family val="2"/>
            <charset val="204"/>
          </rPr>
          <t>smax: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 xml:space="preserve">Writes, Mi Notebook Pro
</t>
        </r>
      </text>
    </comment>
    <comment ref="G43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Hello:</t>
        </r>
        <r>
          <rPr>
            <sz val="9"/>
            <color indexed="81"/>
            <rFont val="Tahoma"/>
            <family val="2"/>
          </rPr>
          <t xml:space="preserve">
GA</t>
        </r>
      </text>
    </comment>
    <comment ref="J47" authorId="1" shapeId="0" xr:uid="{00000000-0006-0000-0000-000004000000}">
      <text>
        <r>
          <rPr>
            <b/>
            <sz val="10"/>
            <color rgb="FF000000"/>
            <rFont val="Tahoma"/>
            <family val="2"/>
            <charset val="204"/>
          </rPr>
          <t>smax: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 xml:space="preserve">GA
</t>
        </r>
      </text>
    </comment>
    <comment ref="J54" authorId="2" shapeId="0" xr:uid="{86A1A08C-3A53-9943-9D2D-6C849913DCAA}">
      <text>
        <r>
          <rPr>
            <b/>
            <sz val="10"/>
            <color rgb="FF000000"/>
            <rFont val="Tahoma"/>
            <family val="2"/>
            <charset val="204"/>
          </rPr>
          <t>M M: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2.0.3 Adj</t>
        </r>
      </text>
    </comment>
    <comment ref="J71" authorId="2" shapeId="0" xr:uid="{DCA6A18E-15CD-C94C-89DB-186EA97973F3}">
      <text>
        <r>
          <rPr>
            <b/>
            <sz val="10"/>
            <color rgb="FF000000"/>
            <rFont val="Tahoma"/>
            <family val="2"/>
            <charset val="204"/>
          </rPr>
          <t>M M: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2.0.3 Adj</t>
        </r>
      </text>
    </comment>
    <comment ref="B80" authorId="1" shapeId="0" xr:uid="{00000000-0006-0000-0000-000005000000}">
      <text>
        <r>
          <rPr>
            <b/>
            <sz val="10"/>
            <color rgb="FF000000"/>
            <rFont val="Tahoma"/>
            <family val="2"/>
            <charset val="204"/>
          </rPr>
          <t>smax: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 xml:space="preserve">writes, Mi Notebook Pro
</t>
        </r>
      </text>
    </comment>
    <comment ref="G9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Hello:</t>
        </r>
        <r>
          <rPr>
            <sz val="9"/>
            <color indexed="81"/>
            <rFont val="Tahoma"/>
            <family val="2"/>
          </rPr>
          <t xml:space="preserve">
GA</t>
        </r>
      </text>
    </comment>
    <comment ref="G103" authorId="0" shapeId="0" xr:uid="{00000000-0006-0000-0000-000007000000}">
      <text>
        <r>
          <rPr>
            <b/>
            <sz val="9"/>
            <color rgb="FF000000"/>
            <rFont val="Tahoma"/>
            <family val="2"/>
          </rPr>
          <t>Hello: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GA
</t>
        </r>
      </text>
    </comment>
    <comment ref="G104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Hello:</t>
        </r>
        <r>
          <rPr>
            <sz val="9"/>
            <color indexed="81"/>
            <rFont val="Tahoma"/>
            <family val="2"/>
          </rPr>
          <t xml:space="preserve">
GA</t>
        </r>
      </text>
    </comment>
    <comment ref="G105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Hello:</t>
        </r>
        <r>
          <rPr>
            <sz val="9"/>
            <color indexed="81"/>
            <rFont val="Tahoma"/>
            <family val="2"/>
          </rPr>
          <t xml:space="preserve">
GA
</t>
        </r>
      </text>
    </comment>
    <comment ref="G106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Hello:</t>
        </r>
        <r>
          <rPr>
            <sz val="9"/>
            <color indexed="81"/>
            <rFont val="Tahoma"/>
            <family val="2"/>
          </rPr>
          <t xml:space="preserve">
GA
</t>
        </r>
      </text>
    </comment>
  </commentList>
</comments>
</file>

<file path=xl/sharedStrings.xml><?xml version="1.0" encoding="utf-8"?>
<sst xmlns="http://schemas.openxmlformats.org/spreadsheetml/2006/main" count="341" uniqueCount="203">
  <si>
    <t>Samsung Galaxy S9</t>
  </si>
  <si>
    <t>device</t>
  </si>
  <si>
    <t>dateTested</t>
  </si>
  <si>
    <t>seqWrite</t>
  </si>
  <si>
    <t>seqRead</t>
  </si>
  <si>
    <t>randWrite</t>
  </si>
  <si>
    <t>randRead</t>
  </si>
  <si>
    <t>memCopy</t>
  </si>
  <si>
    <t>deviceYear</t>
  </si>
  <si>
    <t>deviceDetail</t>
  </si>
  <si>
    <t>deviceComment</t>
  </si>
  <si>
    <t>Essential Phone PH-1</t>
  </si>
  <si>
    <t>Android</t>
  </si>
  <si>
    <t>macOS</t>
  </si>
  <si>
    <t>Windows</t>
  </si>
  <si>
    <t>id</t>
  </si>
  <si>
    <t>platform</t>
  </si>
  <si>
    <t>Meizu 16th</t>
  </si>
  <si>
    <t>Nokia N1</t>
  </si>
  <si>
    <t>Google Pixel 2</t>
  </si>
  <si>
    <t>Snapdragon 835, 64GB</t>
  </si>
  <si>
    <t>Huawei Mate 9</t>
  </si>
  <si>
    <t>Kirin 960, 64GB</t>
  </si>
  <si>
    <t>Huawei P8 Lite</t>
  </si>
  <si>
    <t>Kirin 620, 32GB</t>
  </si>
  <si>
    <t>WD 5000AAKX HDD</t>
  </si>
  <si>
    <t>Samsung Galaxy Note 4</t>
  </si>
  <si>
    <t>Exynos 5433, 32GB</t>
  </si>
  <si>
    <t>Snapdragon 801, 16GB</t>
  </si>
  <si>
    <t>Xiaomi Redmi Note 4</t>
  </si>
  <si>
    <t>Xiaomi Redmi 4 Pro/Prime</t>
  </si>
  <si>
    <t>Snapdragon 625, 32GB, 10GB free</t>
  </si>
  <si>
    <t>Snapdragon 625, 32GB, 2GB free</t>
  </si>
  <si>
    <t>Samsung Galaxy Note 9</t>
  </si>
  <si>
    <t>Exynos 9810, 128GB</t>
  </si>
  <si>
    <t>Azure VM Premium SSD</t>
  </si>
  <si>
    <t>DS3_v2, 257GB(125MBPS, 12800IOPS), ~$260/m</t>
  </si>
  <si>
    <t>DS3_v2, temp. drive 28GB, ~$260/m</t>
  </si>
  <si>
    <t>LG Nexus 5</t>
  </si>
  <si>
    <t>Snapdragon 800, 32GB</t>
  </si>
  <si>
    <t>Samsung Galaxy S5</t>
  </si>
  <si>
    <t>Samsung Galaxy S7</t>
  </si>
  <si>
    <t>Samsung Galaxy S8</t>
  </si>
  <si>
    <t>Exynos 8895, 64GB</t>
  </si>
  <si>
    <t>Snapdragon 820, 32GB, encrypted, LineageOS 15.1</t>
  </si>
  <si>
    <t>Xiaomi Mi Max</t>
  </si>
  <si>
    <t>Snapdragon 650, 32GB, not-encrypted</t>
  </si>
  <si>
    <t>Snapdragon 820, 32GB, not-encrypted, LineageOS 15.1</t>
  </si>
  <si>
    <t>Snapdragon 710, 64GB, not-encrypted</t>
  </si>
  <si>
    <t>Snapdragon 650, 32GB, encrypted</t>
  </si>
  <si>
    <t>Seagate Expansion HDD</t>
  </si>
  <si>
    <t>256GB, 8GB RAM, Core i5-8250U</t>
  </si>
  <si>
    <t>Kirin 980, 6/128GB</t>
  </si>
  <si>
    <t>512GB, NTFS partition (Paragon NTFS for Mac 15.4.44)</t>
  </si>
  <si>
    <t>512GB, NTFS partition (ntfs-3g + OSXFUSE)</t>
  </si>
  <si>
    <t>Although random speeds within one file are high, file operations (creating/copying files) are noticably slow</t>
  </si>
  <si>
    <t>Installing side-by-sde trial of Paragon NTFS trial version and disbling/dismounting it's drive and enabling/mounting Tuxera partition showed performance improvements with Tuxera. I.e. Tuxera showed same performance as Paragaon, suspicion is that Paragon upgraded MacFuse drivers for better ones</t>
  </si>
  <si>
    <t>Xiaomi Redmi Note 5</t>
  </si>
  <si>
    <t>Snapdragon 636, 3/32GB</t>
  </si>
  <si>
    <t>Snapdragon 625, 3/32GB</t>
  </si>
  <si>
    <t>USB 2.0, 1TB/5400RPM</t>
  </si>
  <si>
    <t>USB 3.0, 1TB/5400RPM</t>
  </si>
  <si>
    <t>Xiaomi Mi Note</t>
  </si>
  <si>
    <t>Snapdragon 801, 3/16GB</t>
  </si>
  <si>
    <t>Snapdragon 820, 32GB, not-encrypted high-perf. mode, LineageOS 15.1</t>
  </si>
  <si>
    <t>Snapdragon 425, 2/16GB</t>
  </si>
  <si>
    <t>Huawei Y6 Prime</t>
  </si>
  <si>
    <t>true</t>
  </si>
  <si>
    <t>hidden</t>
  </si>
  <si>
    <t>Galaxy Tab E</t>
  </si>
  <si>
    <t>Spreadtrum SC7730, 1.5/8GB</t>
  </si>
  <si>
    <t>MediaTek MT8735, 1/8GB</t>
  </si>
  <si>
    <t>Philips E Line TLE821L</t>
  </si>
  <si>
    <t>256GB, Core i5-4460 workstation</t>
  </si>
  <si>
    <t>256GB, Core i5-6500</t>
  </si>
  <si>
    <t>Samsung 850 EVO SSD</t>
  </si>
  <si>
    <t>Snapdragon 845, 8/128GB</t>
  </si>
  <si>
    <t>Exynos 8890, 4/32GB</t>
  </si>
  <si>
    <t>Snapdragon 820, 3/32GB, MIUI9 (7.0)</t>
  </si>
  <si>
    <t>Intel Z3580, 2/32GB</t>
  </si>
  <si>
    <t>Snapdragon 835, 4/64GB</t>
  </si>
  <si>
    <t>Snapdragon 835, 4/128GB</t>
  </si>
  <si>
    <t>Exynos 9810, 4/64GB</t>
  </si>
  <si>
    <t>Snapdragon 710, 4/64GB, encrypted</t>
  </si>
  <si>
    <t>Gen 2, 256GB, Core i5-7200U</t>
  </si>
  <si>
    <t>Hitachi Travelstar HDD</t>
  </si>
  <si>
    <t>250GB, 5400RPM, Core i5-3337U</t>
  </si>
  <si>
    <t xml:space="preserve">Lenovo ThinkPad 13, Intel 600p SSD </t>
  </si>
  <si>
    <t>Dell OptiPlex 24 7440, SK Hynix PC300 SSD</t>
  </si>
  <si>
    <t>HiSilicon Kirin 659, 4/64GB</t>
  </si>
  <si>
    <t>Huawei Mate 10 Lite</t>
  </si>
  <si>
    <t>Huawei Mate 10 Pro</t>
  </si>
  <si>
    <t>HiSilicon Kirin 970, 6/128GB</t>
  </si>
  <si>
    <t>HiSilicon Kirin 710, 4/64GB</t>
  </si>
  <si>
    <t>Huawei Mate 20 Lite</t>
  </si>
  <si>
    <t>Huawei P20 Lite</t>
  </si>
  <si>
    <t>Huawei P20 Pro</t>
  </si>
  <si>
    <t>Huawei P20</t>
  </si>
  <si>
    <t>HiSilicon Kirin 970, 4/128GB</t>
  </si>
  <si>
    <t>Samsung Galaxy A7</t>
  </si>
  <si>
    <t>Exynos 7885, 6/64GB</t>
  </si>
  <si>
    <t>Samsung Galaxy A8</t>
  </si>
  <si>
    <t>Exynos 7885, 4/32GB</t>
  </si>
  <si>
    <t>Samsung Galaxy Note 8</t>
  </si>
  <si>
    <t>Exynos 8895, 6/64GB</t>
  </si>
  <si>
    <t>Vivo V11i</t>
  </si>
  <si>
    <t>Mediatek MT6771 Helio P60, 4/128GB</t>
  </si>
  <si>
    <t>ZTE Blade V7 Lite</t>
  </si>
  <si>
    <t>Mediatek MT6735P, 2/16GB</t>
  </si>
  <si>
    <t>Snapdragon 835, 8/128GB</t>
  </si>
  <si>
    <t>OnePlus 5T</t>
  </si>
  <si>
    <t>Xiaomi Redmi Note 6 Pro</t>
  </si>
  <si>
    <t>Xiaomi Mi Mix 2</t>
  </si>
  <si>
    <t>Snapdragon 835, 6/64GB</t>
  </si>
  <si>
    <t>Xiaomi Mi 8 Lite</t>
  </si>
  <si>
    <t>Xiaomi Mi 8 SE</t>
  </si>
  <si>
    <t>Xiaomi Mi 5</t>
  </si>
  <si>
    <t>Xiaomi Mi 6</t>
  </si>
  <si>
    <t>Snapdragon 660, 4/64GB</t>
  </si>
  <si>
    <t>Xiaomi Mi 8</t>
  </si>
  <si>
    <t>Snapdragon 845, 6/64GB</t>
  </si>
  <si>
    <t>Xiaomi Pocophone F1</t>
  </si>
  <si>
    <t>HP Omen 15-dc0054ur, HDD</t>
  </si>
  <si>
    <t>Asus X507UB, HDD</t>
  </si>
  <si>
    <t>1TB HDD 5400RPM, 4GB, Core i36006U</t>
  </si>
  <si>
    <t>500GB 7200RPM, Core i5-4460 workstation</t>
  </si>
  <si>
    <t>Apple 15\" MacBook Pro</t>
  </si>
  <si>
    <t>Apple  15\" MacBook Pro</t>
  </si>
  <si>
    <t>Apple  13\" MacBook Pro</t>
  </si>
  <si>
    <t>Lenovo Yoga 3 Pro, Samsung PM851 M.2 SSD</t>
  </si>
  <si>
    <t>512GB, 8GB, Intel Core M-5Y71</t>
  </si>
  <si>
    <t>1TB 7200RPM, 8GB, Core i5 8300H</t>
  </si>
  <si>
    <t>Nokia 8</t>
  </si>
  <si>
    <t>Snapdragon 630, 4/32GB</t>
  </si>
  <si>
    <t>Snapdragon 835, 4/32GB</t>
  </si>
  <si>
    <t>Sony Xperia XA2 Plus</t>
  </si>
  <si>
    <t>Sony Xperia XZ1 Compact</t>
  </si>
  <si>
    <t>Sony Xperia XZ2 Premium</t>
  </si>
  <si>
    <t>Sony Xperia XZ3</t>
  </si>
  <si>
    <t>Snapdragon 845, 4/64GB</t>
  </si>
  <si>
    <t>Xiaomi Mi Mix</t>
  </si>
  <si>
    <t>Snapdragon 821, 6/256GB</t>
  </si>
  <si>
    <t>Xiaomi Mi Mix 2S</t>
  </si>
  <si>
    <t>256GB, 8GB, Intel Core i5-8250U</t>
  </si>
  <si>
    <t>Xiaomi Mi Notebook Air 13.3, Samsung PM961 M.2 SSD</t>
  </si>
  <si>
    <t>Exynos 7870, 3/32GB</t>
  </si>
  <si>
    <t>Samsung Galaxy A6</t>
  </si>
  <si>
    <t>Samsung Galaxy A9</t>
  </si>
  <si>
    <t>Snapdragon 660, 6/128GB</t>
  </si>
  <si>
    <t>Samsung Galaxy Tab A 10.5</t>
  </si>
  <si>
    <t>Samsung Galaxy Tab S4 10.5</t>
  </si>
  <si>
    <t>Snapdragon 450, 3/32GB</t>
  </si>
  <si>
    <t>Exynos 9810, 4/32GB</t>
  </si>
  <si>
    <t>Samsung Galaxy S9+</t>
  </si>
  <si>
    <t>Exynos 9810, 6/64GB</t>
  </si>
  <si>
    <t>16/512GB, APFS partition</t>
  </si>
  <si>
    <t>16/512GB, NTFS partition (Tuxera NTFS 2018)</t>
  </si>
  <si>
    <t>16/512GB, Windows 10 Bootcamp, NTFS partition</t>
  </si>
  <si>
    <t>16/512GB, Windows 10 VMWare Fusion, NTFS virtual disk</t>
  </si>
  <si>
    <t>Xiaomi Mi Notebook Air 13.3, Samsung PM981 M.2 SSD</t>
  </si>
  <si>
    <t>256GB, 8GB, Intel Core i7-8550U</t>
  </si>
  <si>
    <t>Xiaomi Gaming Laptop, Samsung PM871b M.2 SSD</t>
  </si>
  <si>
    <t>Xiaomi Gaming Laptop, Samsung Spinpoint M8 HDD</t>
  </si>
  <si>
    <t xml:space="preserve">128GB, 8GB, Intel Core i5 7300HQ </t>
  </si>
  <si>
    <t xml:space="preserve">1TB 5400RPM, 8GB, Intel Core i5 7300HQ </t>
  </si>
  <si>
    <t>Huawei Matebook X Pro, Samsung PM961 M.2 SSD</t>
  </si>
  <si>
    <t>Xiaomi Mi Notebook Pro, Samsung PM961 M.2 SSD</t>
  </si>
  <si>
    <t>256GB, 16GB, Intel Core i7-8550U</t>
  </si>
  <si>
    <t>Xiaomi Mi Mix 3</t>
  </si>
  <si>
    <t>Snapdragon 845, 6/128GB</t>
  </si>
  <si>
    <t>Xiaomi Mi Max 3</t>
  </si>
  <si>
    <t>Snapdragon 636, 4/64GB</t>
  </si>
  <si>
    <t>Snapdragon 845, 8/6128GB</t>
  </si>
  <si>
    <t>Xiaomi Mi 8 Pro</t>
  </si>
  <si>
    <t>Xiaomi Mi A2</t>
  </si>
  <si>
    <t>Snapdragon 660, 4/32GB</t>
  </si>
  <si>
    <t>Xiaomi Redmi 5 Plus</t>
  </si>
  <si>
    <t>Early, 4/256GB</t>
  </si>
  <si>
    <t>Apple 13\" MacBook Air</t>
  </si>
  <si>
    <t>16/512GB</t>
  </si>
  <si>
    <t>Early, 512GB</t>
  </si>
  <si>
    <t>Mid, 256GB</t>
  </si>
  <si>
    <t>128GB</t>
  </si>
  <si>
    <t>Nokia 8 Scirocco</t>
  </si>
  <si>
    <t>Snapdragon 835, 6/128GB</t>
  </si>
  <si>
    <t>Tecno Camon C5</t>
  </si>
  <si>
    <t>MediaTek MT6735, 1/8GB</t>
  </si>
  <si>
    <t>ASUS Chromebook Flip C302</t>
  </si>
  <si>
    <t>Core m3-6Y30, 4/64GB eMMC</t>
  </si>
  <si>
    <t>Huawei Mate 20 Pro</t>
  </si>
  <si>
    <t>Toshiba Exceria microSD Card</t>
  </si>
  <si>
    <t>16GB, Class U1, USB 3.0 Card Reader</t>
  </si>
  <si>
    <t>Silicon Power LuxMini 710 Flash</t>
  </si>
  <si>
    <t>4GB, USB 2.0</t>
  </si>
  <si>
    <t>Kirin 970, 4/128GB</t>
  </si>
  <si>
    <t>Honor 10</t>
  </si>
  <si>
    <t>Huawei P9 Plus</t>
  </si>
  <si>
    <t>Kirin 955, 4/64GB</t>
  </si>
  <si>
    <t>Exynos 7420, 3/32GB</t>
  </si>
  <si>
    <t>nVidia Shield TV</t>
  </si>
  <si>
    <t>Tegra X1, 3/16GB</t>
  </si>
  <si>
    <t>noMem</t>
  </si>
  <si>
    <t>Samsung Galaxy S6 Edge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</si>
</sst>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\(&quot;GB/s&quot;\)"/>
    <numFmt numFmtId="165" formatCode="0.00\(&quot;MB/s&quot;\)"/>
  </numFmts>
  <fonts count="13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000000"/>
      <name val="Tahoma"/>
      <family val="2"/>
      <charset val="204"/>
    </font>
    <font>
      <b/>
      <sz val="10"/>
      <color rgb="FF000000"/>
      <name val="Tahoma"/>
      <family val="2"/>
      <charset val="204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i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2" fillId="0" borderId="0" xfId="0" applyFont="1"/>
    <xf numFmtId="14" fontId="2" fillId="0" borderId="0" xfId="0" applyNumberFormat="1" applyFont="1"/>
    <xf numFmtId="165" fontId="2" fillId="0" borderId="0" xfId="0" applyNumberFormat="1" applyFont="1"/>
    <xf numFmtId="164" fontId="2" fillId="0" borderId="0" xfId="0" applyNumberFormat="1" applyFont="1"/>
    <xf numFmtId="2" fontId="2" fillId="0" borderId="0" xfId="0" applyNumberFormat="1" applyFont="1"/>
    <xf numFmtId="14" fontId="0" fillId="0" borderId="0" xfId="0" applyNumberFormat="1"/>
    <xf numFmtId="0" fontId="5" fillId="0" borderId="0" xfId="0" applyFont="1"/>
    <xf numFmtId="0" fontId="6" fillId="0" borderId="0" xfId="0" applyFont="1"/>
    <xf numFmtId="0" fontId="9" fillId="0" borderId="0" xfId="0" applyFont="1"/>
    <xf numFmtId="165" fontId="12" fillId="0" borderId="0" xfId="0" applyNumberFormat="1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N115"/>
  <sheetViews>
    <sheetView tabSelected="1" zoomScaleNormal="100" workbookViewId="0">
      <pane ySplit="1" topLeftCell="A50" activePane="bottomLeft" state="frozen"/>
      <selection pane="bottomLeft" activeCell="J50" sqref="J50"/>
    </sheetView>
  </sheetViews>
  <sheetFormatPr baseColWidth="10" defaultColWidth="11" defaultRowHeight="16"/>
  <cols>
    <col min="1" max="1" width="4.5" style="1" customWidth="1"/>
    <col min="2" max="2" width="47.5" style="2" customWidth="1"/>
    <col min="3" max="3" width="10.5" customWidth="1"/>
    <col min="4" max="4" width="29.83203125" customWidth="1"/>
    <col min="5" max="5" width="16" customWidth="1"/>
    <col min="6" max="6" width="7.83203125" customWidth="1"/>
    <col min="7" max="7" width="12.33203125" customWidth="1"/>
    <col min="8" max="8" width="13.83203125" customWidth="1"/>
    <col min="9" max="9" width="15" customWidth="1"/>
    <col min="10" max="10" width="12.33203125" customWidth="1"/>
    <col min="11" max="11" width="13" customWidth="1"/>
    <col min="12" max="12" width="14.1640625" customWidth="1"/>
  </cols>
  <sheetData>
    <row r="1" spans="1:14" s="1" customFormat="1">
      <c r="A1" s="1" t="s">
        <v>15</v>
      </c>
      <c r="B1" s="1" t="s">
        <v>1</v>
      </c>
      <c r="C1" s="1" t="s">
        <v>16</v>
      </c>
      <c r="D1" s="1" t="s">
        <v>9</v>
      </c>
      <c r="E1" s="1" t="s">
        <v>10</v>
      </c>
      <c r="F1" s="1" t="s">
        <v>8</v>
      </c>
      <c r="G1" s="1" t="s">
        <v>2</v>
      </c>
      <c r="H1" s="1" t="s">
        <v>3</v>
      </c>
      <c r="I1" s="1" t="s">
        <v>4</v>
      </c>
      <c r="J1" s="1" t="s">
        <v>5</v>
      </c>
      <c r="K1" s="1" t="s">
        <v>6</v>
      </c>
      <c r="L1" s="1" t="s">
        <v>7</v>
      </c>
      <c r="M1" s="1" t="s">
        <v>68</v>
      </c>
      <c r="N1" s="1" t="s">
        <v>201</v>
      </c>
    </row>
    <row r="2" spans="1:14" s="2" customFormat="1">
      <c r="A2" s="1">
        <v>1</v>
      </c>
      <c r="B2" s="2" t="s">
        <v>115</v>
      </c>
      <c r="C2" s="2" t="s">
        <v>12</v>
      </c>
      <c r="D2" s="2" t="s">
        <v>83</v>
      </c>
      <c r="F2" s="2">
        <v>2018</v>
      </c>
      <c r="G2" s="3">
        <v>43117</v>
      </c>
      <c r="H2" s="4">
        <v>110</v>
      </c>
      <c r="I2" s="4">
        <v>296</v>
      </c>
      <c r="J2" s="4">
        <v>14.9</v>
      </c>
      <c r="K2" s="4">
        <v>9.4</v>
      </c>
      <c r="L2" s="5">
        <v>4.6500000000000004</v>
      </c>
      <c r="M2" s="6"/>
    </row>
    <row r="3" spans="1:14" s="2" customFormat="1">
      <c r="A3" s="1">
        <v>2</v>
      </c>
      <c r="B3" s="2" t="s">
        <v>0</v>
      </c>
      <c r="C3" s="2" t="s">
        <v>12</v>
      </c>
      <c r="D3" s="2" t="s">
        <v>82</v>
      </c>
      <c r="F3" s="2">
        <v>2018</v>
      </c>
      <c r="G3" s="3">
        <v>43377</v>
      </c>
      <c r="H3" s="4">
        <v>118</v>
      </c>
      <c r="I3" s="4">
        <v>654</v>
      </c>
      <c r="J3" s="4">
        <v>1.7</v>
      </c>
      <c r="K3" s="4">
        <v>14.4</v>
      </c>
      <c r="L3" s="5">
        <v>12.7</v>
      </c>
      <c r="M3" s="2" t="s">
        <v>67</v>
      </c>
    </row>
    <row r="4" spans="1:14">
      <c r="A4" s="1">
        <v>3</v>
      </c>
      <c r="B4" s="2" t="s">
        <v>11</v>
      </c>
      <c r="C4" s="2" t="s">
        <v>12</v>
      </c>
      <c r="D4" s="2" t="s">
        <v>81</v>
      </c>
      <c r="E4" s="2"/>
      <c r="F4" s="2">
        <v>2017</v>
      </c>
      <c r="G4" s="3">
        <v>43373</v>
      </c>
      <c r="H4" s="4">
        <v>125</v>
      </c>
      <c r="I4" s="4">
        <v>440</v>
      </c>
      <c r="J4" s="4">
        <v>4.8</v>
      </c>
      <c r="K4" s="4">
        <v>14.3</v>
      </c>
      <c r="L4" s="5">
        <v>6.6</v>
      </c>
      <c r="M4" s="2"/>
    </row>
    <row r="5" spans="1:14">
      <c r="A5" s="1">
        <v>4</v>
      </c>
      <c r="B5" s="2" t="s">
        <v>126</v>
      </c>
      <c r="C5" s="2" t="s">
        <v>13</v>
      </c>
      <c r="D5" s="2" t="s">
        <v>155</v>
      </c>
      <c r="E5" s="2"/>
      <c r="F5" s="2">
        <v>2018</v>
      </c>
      <c r="G5" s="3">
        <v>43376</v>
      </c>
      <c r="H5" s="4">
        <v>1440</v>
      </c>
      <c r="I5" s="4">
        <v>2250</v>
      </c>
      <c r="J5" s="4">
        <v>75</v>
      </c>
      <c r="K5" s="4">
        <v>38</v>
      </c>
      <c r="L5" s="5">
        <v>10.5</v>
      </c>
      <c r="M5" s="2"/>
    </row>
    <row r="6" spans="1:14">
      <c r="A6" s="1">
        <v>5</v>
      </c>
      <c r="B6" s="2" t="s">
        <v>127</v>
      </c>
      <c r="C6" s="2" t="s">
        <v>13</v>
      </c>
      <c r="D6" s="2" t="s">
        <v>156</v>
      </c>
      <c r="E6" s="2" t="s">
        <v>56</v>
      </c>
      <c r="F6" s="2">
        <v>2018</v>
      </c>
      <c r="G6" s="3">
        <v>43376</v>
      </c>
      <c r="H6" s="4">
        <v>700</v>
      </c>
      <c r="I6" s="4">
        <v>654</v>
      </c>
      <c r="J6" s="4">
        <v>27</v>
      </c>
      <c r="K6" s="4">
        <v>15.7</v>
      </c>
      <c r="L6" s="5">
        <v>10.5</v>
      </c>
      <c r="M6" s="2"/>
    </row>
    <row r="7" spans="1:14">
      <c r="A7" s="1">
        <v>6</v>
      </c>
      <c r="B7" s="2" t="s">
        <v>126</v>
      </c>
      <c r="C7" s="2" t="s">
        <v>14</v>
      </c>
      <c r="D7" s="2" t="s">
        <v>157</v>
      </c>
      <c r="E7" s="2"/>
      <c r="F7" s="2">
        <v>2018</v>
      </c>
      <c r="G7" s="3">
        <v>43376</v>
      </c>
      <c r="H7" s="4">
        <v>1135</v>
      </c>
      <c r="I7" s="4">
        <v>1618</v>
      </c>
      <c r="J7" s="4">
        <v>18.52</v>
      </c>
      <c r="K7" s="4">
        <v>11</v>
      </c>
      <c r="L7" s="5">
        <v>8.99</v>
      </c>
      <c r="M7" s="2"/>
    </row>
    <row r="8" spans="1:14">
      <c r="A8" s="1">
        <v>7</v>
      </c>
      <c r="B8" s="2" t="s">
        <v>126</v>
      </c>
      <c r="C8" s="2" t="s">
        <v>14</v>
      </c>
      <c r="D8" s="2" t="s">
        <v>158</v>
      </c>
      <c r="E8" s="2"/>
      <c r="F8" s="2">
        <v>2018</v>
      </c>
      <c r="G8" s="3">
        <v>43376</v>
      </c>
      <c r="H8" s="4">
        <v>980</v>
      </c>
      <c r="I8" s="4">
        <v>2458</v>
      </c>
      <c r="J8" s="4">
        <v>12</v>
      </c>
      <c r="K8" s="4">
        <v>29</v>
      </c>
      <c r="L8" s="5">
        <v>5.8</v>
      </c>
      <c r="M8" s="2"/>
    </row>
    <row r="9" spans="1:14">
      <c r="A9" s="1">
        <v>8</v>
      </c>
      <c r="B9" s="2" t="s">
        <v>17</v>
      </c>
      <c r="C9" s="2" t="s">
        <v>12</v>
      </c>
      <c r="D9" s="2" t="s">
        <v>76</v>
      </c>
      <c r="E9" s="2"/>
      <c r="F9" s="2">
        <v>2018</v>
      </c>
      <c r="G9" s="3">
        <v>43405</v>
      </c>
      <c r="H9" s="4">
        <v>160</v>
      </c>
      <c r="I9" s="4">
        <v>560</v>
      </c>
      <c r="J9" s="4">
        <v>5.8</v>
      </c>
      <c r="K9" s="4">
        <v>13.2</v>
      </c>
      <c r="L9" s="5">
        <v>7.9</v>
      </c>
      <c r="M9" s="2"/>
    </row>
    <row r="10" spans="1:14" s="2" customFormat="1">
      <c r="A10" s="1">
        <v>9</v>
      </c>
      <c r="B10" s="2" t="s">
        <v>41</v>
      </c>
      <c r="C10" s="2" t="s">
        <v>12</v>
      </c>
      <c r="D10" s="2" t="s">
        <v>77</v>
      </c>
      <c r="F10" s="2">
        <v>2016</v>
      </c>
      <c r="G10" s="3">
        <v>43483</v>
      </c>
      <c r="H10" s="4">
        <v>76</v>
      </c>
      <c r="I10" s="4">
        <v>292</v>
      </c>
      <c r="J10" s="4">
        <v>2.95</v>
      </c>
      <c r="K10" s="4">
        <v>9.9</v>
      </c>
      <c r="L10" s="5">
        <v>5.45</v>
      </c>
    </row>
    <row r="11" spans="1:14">
      <c r="A11" s="1">
        <v>10</v>
      </c>
      <c r="B11" s="2" t="s">
        <v>116</v>
      </c>
      <c r="C11" s="2" t="s">
        <v>12</v>
      </c>
      <c r="D11" s="2" t="s">
        <v>78</v>
      </c>
      <c r="E11" s="2"/>
      <c r="F11" s="2">
        <v>2016</v>
      </c>
      <c r="G11" s="3">
        <v>43376</v>
      </c>
      <c r="H11" s="4">
        <v>84</v>
      </c>
      <c r="I11" s="4">
        <v>463</v>
      </c>
      <c r="J11" s="4">
        <v>3.5</v>
      </c>
      <c r="K11" s="4">
        <v>10.9</v>
      </c>
      <c r="L11" s="5">
        <v>4.3</v>
      </c>
      <c r="M11" s="2" t="s">
        <v>67</v>
      </c>
    </row>
    <row r="12" spans="1:14" s="1" customFormat="1">
      <c r="A12" s="1">
        <v>11</v>
      </c>
      <c r="B12" s="2" t="s">
        <v>18</v>
      </c>
      <c r="C12" s="2" t="s">
        <v>12</v>
      </c>
      <c r="D12" s="2" t="s">
        <v>79</v>
      </c>
      <c r="E12" s="2"/>
      <c r="F12" s="2">
        <v>2015</v>
      </c>
      <c r="G12" s="3">
        <v>43373</v>
      </c>
      <c r="H12" s="4">
        <v>48</v>
      </c>
      <c r="I12" s="4">
        <v>163</v>
      </c>
      <c r="J12" s="4">
        <v>2.9</v>
      </c>
      <c r="K12" s="4">
        <v>7.3</v>
      </c>
      <c r="L12" s="5">
        <v>1.2</v>
      </c>
      <c r="M12" s="2"/>
    </row>
    <row r="13" spans="1:14">
      <c r="A13" s="1">
        <v>12</v>
      </c>
      <c r="B13" s="2" t="s">
        <v>19</v>
      </c>
      <c r="C13" s="2" t="s">
        <v>12</v>
      </c>
      <c r="D13" s="2" t="s">
        <v>80</v>
      </c>
      <c r="E13" s="2"/>
      <c r="F13" s="2">
        <v>2017</v>
      </c>
      <c r="G13" s="3">
        <v>43376</v>
      </c>
      <c r="H13" s="4">
        <v>130</v>
      </c>
      <c r="I13" s="4">
        <v>657</v>
      </c>
      <c r="J13" s="4">
        <v>3.8</v>
      </c>
      <c r="K13" s="4">
        <v>13.4</v>
      </c>
      <c r="L13" s="5">
        <v>7.3</v>
      </c>
      <c r="M13" s="2"/>
    </row>
    <row r="14" spans="1:14" s="1" customFormat="1">
      <c r="A14" s="1">
        <v>13</v>
      </c>
      <c r="B14" s="2" t="s">
        <v>117</v>
      </c>
      <c r="C14" s="2" t="s">
        <v>12</v>
      </c>
      <c r="D14" s="2" t="s">
        <v>80</v>
      </c>
      <c r="E14" s="2"/>
      <c r="F14" s="2">
        <v>2017</v>
      </c>
      <c r="G14" s="3">
        <v>43376</v>
      </c>
      <c r="H14" s="4">
        <v>88</v>
      </c>
      <c r="I14" s="4">
        <v>386</v>
      </c>
      <c r="J14" s="4">
        <v>4.7</v>
      </c>
      <c r="K14" s="4">
        <v>9.6999999999999993</v>
      </c>
      <c r="L14" s="5">
        <v>7.5</v>
      </c>
      <c r="M14" s="2"/>
    </row>
    <row r="15" spans="1:14" s="1" customFormat="1">
      <c r="A15" s="1">
        <v>14</v>
      </c>
      <c r="B15" s="2" t="s">
        <v>21</v>
      </c>
      <c r="C15" s="2" t="s">
        <v>12</v>
      </c>
      <c r="D15" s="2" t="s">
        <v>22</v>
      </c>
      <c r="E15" s="2"/>
      <c r="F15" s="2">
        <v>2016</v>
      </c>
      <c r="G15" s="3">
        <v>43385</v>
      </c>
      <c r="H15" s="4">
        <v>70.400000000000006</v>
      </c>
      <c r="I15" s="4">
        <v>235</v>
      </c>
      <c r="J15" s="4">
        <v>11.5</v>
      </c>
      <c r="K15" s="4">
        <v>8.1999999999999993</v>
      </c>
      <c r="L15" s="5">
        <v>7.3</v>
      </c>
      <c r="M15" s="2"/>
    </row>
    <row r="16" spans="1:14" s="1" customFormat="1">
      <c r="A16" s="1">
        <v>15</v>
      </c>
      <c r="B16" s="2" t="s">
        <v>23</v>
      </c>
      <c r="C16" s="2" t="s">
        <v>12</v>
      </c>
      <c r="D16" s="2" t="s">
        <v>24</v>
      </c>
      <c r="E16" s="2"/>
      <c r="F16" s="2">
        <v>2015</v>
      </c>
      <c r="G16" s="3">
        <v>43376</v>
      </c>
      <c r="H16" s="4">
        <v>17.3</v>
      </c>
      <c r="I16" s="4">
        <v>78</v>
      </c>
      <c r="J16" s="4">
        <v>1.1499999999999999</v>
      </c>
      <c r="K16" s="4">
        <v>1.2</v>
      </c>
      <c r="L16" s="5">
        <v>1.4</v>
      </c>
      <c r="M16" s="2"/>
    </row>
    <row r="17" spans="1:14">
      <c r="A17" s="1">
        <v>16</v>
      </c>
      <c r="B17" s="2" t="s">
        <v>75</v>
      </c>
      <c r="C17" s="2" t="s">
        <v>14</v>
      </c>
      <c r="D17" s="2" t="s">
        <v>73</v>
      </c>
      <c r="E17" s="2"/>
      <c r="F17" s="2">
        <v>2014</v>
      </c>
      <c r="G17" s="3">
        <v>43377</v>
      </c>
      <c r="H17" s="4">
        <v>382</v>
      </c>
      <c r="I17" s="4">
        <v>503</v>
      </c>
      <c r="J17" s="4">
        <v>73.7</v>
      </c>
      <c r="K17" s="4">
        <v>41</v>
      </c>
      <c r="L17" s="5">
        <v>9.1</v>
      </c>
      <c r="M17" s="2"/>
      <c r="N17" s="2" t="s">
        <v>67</v>
      </c>
    </row>
    <row r="18" spans="1:14">
      <c r="A18" s="1">
        <v>17</v>
      </c>
      <c r="B18" s="2" t="s">
        <v>25</v>
      </c>
      <c r="C18" s="2" t="s">
        <v>14</v>
      </c>
      <c r="D18" s="2" t="s">
        <v>125</v>
      </c>
      <c r="E18" s="2"/>
      <c r="F18" s="2">
        <v>2010</v>
      </c>
      <c r="G18" s="3">
        <v>43377</v>
      </c>
      <c r="H18" s="4">
        <v>99</v>
      </c>
      <c r="I18" s="4">
        <v>124.6</v>
      </c>
      <c r="J18" s="4">
        <v>1.27</v>
      </c>
      <c r="K18" s="4">
        <v>0.62</v>
      </c>
      <c r="L18" s="5">
        <v>9.1</v>
      </c>
      <c r="M18" s="2"/>
      <c r="N18" s="2" t="s">
        <v>67</v>
      </c>
    </row>
    <row r="19" spans="1:14" s="1" customFormat="1">
      <c r="A19" s="1">
        <v>18</v>
      </c>
      <c r="B19" s="2" t="s">
        <v>26</v>
      </c>
      <c r="C19" s="2" t="s">
        <v>12</v>
      </c>
      <c r="D19" s="2" t="s">
        <v>27</v>
      </c>
      <c r="E19" s="2"/>
      <c r="F19" s="2">
        <v>2014</v>
      </c>
      <c r="G19" s="3">
        <v>43375</v>
      </c>
      <c r="H19" s="4">
        <v>77</v>
      </c>
      <c r="I19" s="4">
        <v>216</v>
      </c>
      <c r="J19" s="4">
        <v>3.8</v>
      </c>
      <c r="K19" s="4">
        <v>8.8000000000000007</v>
      </c>
      <c r="L19" s="5">
        <v>2.6</v>
      </c>
      <c r="M19" s="2"/>
    </row>
    <row r="20" spans="1:14" s="1" customFormat="1">
      <c r="A20" s="1">
        <v>19</v>
      </c>
      <c r="B20" s="2" t="s">
        <v>40</v>
      </c>
      <c r="C20" s="2" t="s">
        <v>12</v>
      </c>
      <c r="D20" s="2" t="s">
        <v>28</v>
      </c>
      <c r="E20" s="2"/>
      <c r="F20" s="2">
        <v>2014</v>
      </c>
      <c r="G20" s="3">
        <v>43374</v>
      </c>
      <c r="H20" s="4">
        <v>40</v>
      </c>
      <c r="I20" s="4">
        <v>202</v>
      </c>
      <c r="J20" s="4">
        <v>3.1</v>
      </c>
      <c r="K20" s="4">
        <v>8.6999999999999993</v>
      </c>
      <c r="L20" s="5">
        <v>1.1399999999999999</v>
      </c>
      <c r="M20" s="2"/>
    </row>
    <row r="21" spans="1:14">
      <c r="A21" s="1">
        <v>20</v>
      </c>
      <c r="B21" s="2" t="s">
        <v>29</v>
      </c>
      <c r="C21" s="2" t="s">
        <v>12</v>
      </c>
      <c r="D21" s="2" t="s">
        <v>59</v>
      </c>
      <c r="E21" s="2"/>
      <c r="F21" s="2">
        <v>2017</v>
      </c>
      <c r="G21" s="3">
        <v>43377</v>
      </c>
      <c r="H21" s="4">
        <v>37.9</v>
      </c>
      <c r="I21" s="4">
        <v>166</v>
      </c>
      <c r="J21" s="4">
        <v>8.1199999999999992</v>
      </c>
      <c r="K21" s="4">
        <v>6</v>
      </c>
      <c r="L21" s="5">
        <v>1.47</v>
      </c>
      <c r="M21" s="2"/>
    </row>
    <row r="22" spans="1:14">
      <c r="A22" s="1">
        <v>21</v>
      </c>
      <c r="B22" s="2" t="s">
        <v>30</v>
      </c>
      <c r="C22" s="2" t="s">
        <v>12</v>
      </c>
      <c r="D22" s="2" t="s">
        <v>31</v>
      </c>
      <c r="E22" s="2"/>
      <c r="F22" s="2">
        <v>2016</v>
      </c>
      <c r="G22" s="3">
        <v>43374</v>
      </c>
      <c r="H22" s="4">
        <v>16.8</v>
      </c>
      <c r="I22" s="4">
        <v>148</v>
      </c>
      <c r="J22" s="4">
        <v>5</v>
      </c>
      <c r="K22" s="4">
        <v>7.6</v>
      </c>
      <c r="L22" s="5">
        <v>1.6</v>
      </c>
      <c r="M22" s="2"/>
    </row>
    <row r="23" spans="1:14">
      <c r="A23" s="1">
        <v>22</v>
      </c>
      <c r="B23" s="2" t="s">
        <v>30</v>
      </c>
      <c r="C23" s="2" t="s">
        <v>12</v>
      </c>
      <c r="D23" s="2" t="s">
        <v>32</v>
      </c>
      <c r="E23" s="2"/>
      <c r="F23" s="2">
        <v>2016</v>
      </c>
      <c r="G23" s="3">
        <v>43387</v>
      </c>
      <c r="H23" s="4">
        <v>12.5</v>
      </c>
      <c r="I23" s="4">
        <v>143</v>
      </c>
      <c r="J23" s="4">
        <v>3.3</v>
      </c>
      <c r="K23" s="4">
        <v>3.9</v>
      </c>
      <c r="L23" s="5">
        <v>1.6</v>
      </c>
      <c r="M23" s="2" t="s">
        <v>67</v>
      </c>
    </row>
    <row r="24" spans="1:14">
      <c r="A24" s="1">
        <v>23</v>
      </c>
      <c r="B24" s="2" t="s">
        <v>127</v>
      </c>
      <c r="C24" s="2" t="s">
        <v>13</v>
      </c>
      <c r="D24" s="2" t="s">
        <v>180</v>
      </c>
      <c r="E24" s="2"/>
      <c r="F24" s="2">
        <v>2013</v>
      </c>
      <c r="G24" s="3">
        <v>43375</v>
      </c>
      <c r="H24" s="4">
        <v>294</v>
      </c>
      <c r="I24" s="4">
        <v>407</v>
      </c>
      <c r="J24" s="4">
        <v>26</v>
      </c>
      <c r="K24" s="4">
        <v>17.7</v>
      </c>
      <c r="L24" s="5">
        <v>5.9</v>
      </c>
      <c r="M24" s="2"/>
    </row>
    <row r="25" spans="1:14">
      <c r="A25" s="1">
        <v>24</v>
      </c>
      <c r="B25" s="2" t="s">
        <v>127</v>
      </c>
      <c r="C25" s="2" t="s">
        <v>13</v>
      </c>
      <c r="D25" s="2" t="s">
        <v>181</v>
      </c>
      <c r="E25" s="2"/>
      <c r="F25" s="2">
        <v>2014</v>
      </c>
      <c r="G25" s="3">
        <v>43376</v>
      </c>
      <c r="H25" s="4">
        <v>541</v>
      </c>
      <c r="I25" s="4">
        <v>699</v>
      </c>
      <c r="J25" s="4">
        <v>43</v>
      </c>
      <c r="K25" s="4">
        <v>23</v>
      </c>
      <c r="L25" s="5">
        <v>6.7</v>
      </c>
      <c r="M25" s="2"/>
    </row>
    <row r="26" spans="1:14">
      <c r="A26" s="1">
        <v>25</v>
      </c>
      <c r="B26" s="2" t="s">
        <v>128</v>
      </c>
      <c r="C26" s="2" t="s">
        <v>13</v>
      </c>
      <c r="D26" s="2" t="s">
        <v>182</v>
      </c>
      <c r="E26" s="2"/>
      <c r="F26" s="2">
        <v>2017</v>
      </c>
      <c r="G26" s="3">
        <v>43377</v>
      </c>
      <c r="H26" s="4">
        <v>766</v>
      </c>
      <c r="I26" s="4">
        <v>962</v>
      </c>
      <c r="J26" s="4">
        <v>63</v>
      </c>
      <c r="K26" s="4">
        <v>39</v>
      </c>
      <c r="L26" s="5">
        <v>9.1</v>
      </c>
      <c r="M26" s="2"/>
    </row>
    <row r="27" spans="1:14">
      <c r="A27" s="1">
        <v>26</v>
      </c>
      <c r="B27" s="2" t="s">
        <v>33</v>
      </c>
      <c r="C27" s="2" t="s">
        <v>12</v>
      </c>
      <c r="D27" s="2" t="s">
        <v>34</v>
      </c>
      <c r="E27" s="2"/>
      <c r="F27" s="2">
        <v>2018</v>
      </c>
      <c r="G27" s="3">
        <v>43377</v>
      </c>
      <c r="H27" s="4">
        <v>115.2</v>
      </c>
      <c r="I27" s="4">
        <v>542.1</v>
      </c>
      <c r="J27" s="4">
        <v>1.5</v>
      </c>
      <c r="K27" s="4">
        <v>11.7</v>
      </c>
      <c r="L27" s="5">
        <v>12.7</v>
      </c>
      <c r="M27" s="2"/>
    </row>
    <row r="28" spans="1:14">
      <c r="A28" s="1">
        <v>27</v>
      </c>
      <c r="B28" s="2" t="s">
        <v>35</v>
      </c>
      <c r="C28" s="2" t="s">
        <v>14</v>
      </c>
      <c r="D28" s="2" t="s">
        <v>36</v>
      </c>
      <c r="E28" s="2"/>
      <c r="F28" s="2">
        <v>2018</v>
      </c>
      <c r="G28" s="3">
        <v>43429</v>
      </c>
      <c r="H28" s="4">
        <v>96</v>
      </c>
      <c r="I28" s="4">
        <v>127</v>
      </c>
      <c r="J28" s="4">
        <v>1.2</v>
      </c>
      <c r="K28" s="4">
        <v>39</v>
      </c>
      <c r="L28" s="5">
        <v>4.3</v>
      </c>
      <c r="M28" s="2"/>
    </row>
    <row r="29" spans="1:14">
      <c r="A29" s="1">
        <v>28</v>
      </c>
      <c r="B29" s="2" t="s">
        <v>35</v>
      </c>
      <c r="C29" s="2" t="s">
        <v>14</v>
      </c>
      <c r="D29" s="2" t="s">
        <v>37</v>
      </c>
      <c r="E29" s="2"/>
      <c r="F29" s="2">
        <v>2018</v>
      </c>
      <c r="G29" s="3">
        <v>43429</v>
      </c>
      <c r="H29" s="4">
        <v>128</v>
      </c>
      <c r="I29" s="4">
        <v>128</v>
      </c>
      <c r="J29" s="4">
        <v>8.4</v>
      </c>
      <c r="K29" s="4">
        <v>15.9</v>
      </c>
      <c r="L29" s="5">
        <v>4.3</v>
      </c>
      <c r="M29" s="2"/>
    </row>
    <row r="30" spans="1:14">
      <c r="A30" s="1">
        <v>29</v>
      </c>
      <c r="B30" s="2" t="s">
        <v>38</v>
      </c>
      <c r="C30" s="2" t="s">
        <v>12</v>
      </c>
      <c r="D30" s="2" t="s">
        <v>39</v>
      </c>
      <c r="E30" s="2"/>
      <c r="F30" s="2">
        <v>2013</v>
      </c>
      <c r="G30" s="3">
        <v>43377</v>
      </c>
      <c r="H30" s="4">
        <v>28</v>
      </c>
      <c r="I30" s="4">
        <v>76</v>
      </c>
      <c r="J30" s="4">
        <v>1.1000000000000001</v>
      </c>
      <c r="K30" s="4">
        <v>4.5</v>
      </c>
      <c r="L30" s="5">
        <v>0.85</v>
      </c>
      <c r="M30" s="2"/>
    </row>
    <row r="31" spans="1:14">
      <c r="A31" s="1">
        <v>30</v>
      </c>
      <c r="B31" s="2" t="s">
        <v>87</v>
      </c>
      <c r="C31" s="2" t="s">
        <v>14</v>
      </c>
      <c r="D31" s="2" t="s">
        <v>84</v>
      </c>
      <c r="E31" s="2"/>
      <c r="F31" s="2">
        <v>2017</v>
      </c>
      <c r="G31" s="3">
        <v>43430</v>
      </c>
      <c r="H31" s="4">
        <v>471</v>
      </c>
      <c r="I31" s="4">
        <v>1125</v>
      </c>
      <c r="J31" s="4">
        <v>82.9</v>
      </c>
      <c r="K31" s="4">
        <v>29</v>
      </c>
      <c r="L31" s="5">
        <v>6.95</v>
      </c>
      <c r="M31" s="2"/>
    </row>
    <row r="32" spans="1:14">
      <c r="A32" s="1">
        <v>31</v>
      </c>
      <c r="B32" s="2" t="s">
        <v>88</v>
      </c>
      <c r="C32" s="2" t="s">
        <v>14</v>
      </c>
      <c r="D32" s="2" t="s">
        <v>74</v>
      </c>
      <c r="E32" s="2"/>
      <c r="F32" s="2">
        <v>2015</v>
      </c>
      <c r="G32" s="3">
        <v>43431</v>
      </c>
      <c r="H32" s="4">
        <v>372</v>
      </c>
      <c r="I32" s="4">
        <v>1430</v>
      </c>
      <c r="J32" s="4">
        <v>72.8</v>
      </c>
      <c r="K32" s="4">
        <v>27</v>
      </c>
      <c r="L32" s="5">
        <v>4</v>
      </c>
      <c r="M32" s="2"/>
    </row>
    <row r="33" spans="1:14">
      <c r="A33" s="1">
        <v>32</v>
      </c>
      <c r="B33" s="2" t="s">
        <v>115</v>
      </c>
      <c r="C33" s="2" t="s">
        <v>12</v>
      </c>
      <c r="D33" s="2" t="s">
        <v>48</v>
      </c>
      <c r="E33" s="2"/>
      <c r="F33" s="2">
        <v>2018</v>
      </c>
      <c r="G33" s="3">
        <v>43387</v>
      </c>
      <c r="H33" s="4">
        <v>117</v>
      </c>
      <c r="I33" s="4">
        <v>307</v>
      </c>
      <c r="J33" s="4">
        <v>14</v>
      </c>
      <c r="K33" s="4">
        <v>12.48</v>
      </c>
      <c r="L33" s="5">
        <v>4.68</v>
      </c>
      <c r="M33" s="2"/>
    </row>
    <row r="34" spans="1:14">
      <c r="A34" s="1">
        <v>33</v>
      </c>
      <c r="B34" s="2" t="s">
        <v>42</v>
      </c>
      <c r="C34" s="2" t="s">
        <v>12</v>
      </c>
      <c r="D34" s="2" t="s">
        <v>20</v>
      </c>
      <c r="E34" s="2"/>
      <c r="F34" s="2">
        <v>2017</v>
      </c>
      <c r="G34" s="3">
        <v>43432</v>
      </c>
      <c r="H34" s="4">
        <v>73</v>
      </c>
      <c r="I34" s="4">
        <v>357</v>
      </c>
      <c r="J34" s="4">
        <v>3.31</v>
      </c>
      <c r="K34" s="4">
        <v>8.6999999999999993</v>
      </c>
      <c r="L34" s="5">
        <v>6.2</v>
      </c>
      <c r="M34" s="2"/>
    </row>
    <row r="35" spans="1:14">
      <c r="A35" s="1">
        <v>34</v>
      </c>
      <c r="B35" s="2" t="s">
        <v>42</v>
      </c>
      <c r="C35" s="2" t="s">
        <v>12</v>
      </c>
      <c r="D35" s="2" t="s">
        <v>43</v>
      </c>
      <c r="E35" s="2"/>
      <c r="F35" s="2">
        <v>2017</v>
      </c>
      <c r="G35" s="3">
        <v>43432</v>
      </c>
      <c r="H35" s="4">
        <v>84.6</v>
      </c>
      <c r="I35" s="4">
        <v>364</v>
      </c>
      <c r="J35" s="4">
        <v>1.51</v>
      </c>
      <c r="K35" s="4">
        <v>10.8</v>
      </c>
      <c r="L35" s="5">
        <v>4.5</v>
      </c>
      <c r="M35" s="2"/>
    </row>
    <row r="36" spans="1:14">
      <c r="A36" s="1">
        <v>35</v>
      </c>
      <c r="B36" s="2" t="s">
        <v>116</v>
      </c>
      <c r="C36" s="2" t="s">
        <v>12</v>
      </c>
      <c r="D36" s="2" t="s">
        <v>47</v>
      </c>
      <c r="E36" s="2"/>
      <c r="F36" s="2">
        <v>2016</v>
      </c>
      <c r="G36" s="3">
        <v>43434</v>
      </c>
      <c r="H36" s="4">
        <v>74.5</v>
      </c>
      <c r="I36" s="4">
        <v>320</v>
      </c>
      <c r="J36" s="4">
        <v>2.14</v>
      </c>
      <c r="K36" s="4">
        <v>10.96</v>
      </c>
      <c r="L36" s="5">
        <v>4.22</v>
      </c>
      <c r="M36" s="2"/>
    </row>
    <row r="37" spans="1:14">
      <c r="A37" s="1">
        <v>36</v>
      </c>
      <c r="B37" s="2" t="s">
        <v>116</v>
      </c>
      <c r="C37" s="2" t="s">
        <v>12</v>
      </c>
      <c r="D37" s="2" t="s">
        <v>44</v>
      </c>
      <c r="E37" s="2"/>
      <c r="F37" s="2">
        <v>2016</v>
      </c>
      <c r="G37" s="3">
        <v>43434</v>
      </c>
      <c r="H37" s="4">
        <v>75.099999999999994</v>
      </c>
      <c r="I37" s="4">
        <v>307</v>
      </c>
      <c r="J37" s="4">
        <v>2.04</v>
      </c>
      <c r="K37" s="4">
        <v>10.29</v>
      </c>
      <c r="L37" s="5">
        <v>4.22</v>
      </c>
      <c r="M37" s="2"/>
    </row>
    <row r="38" spans="1:14">
      <c r="A38" s="1">
        <v>37</v>
      </c>
      <c r="B38" s="2" t="s">
        <v>116</v>
      </c>
      <c r="C38" s="2" t="s">
        <v>12</v>
      </c>
      <c r="D38" s="2" t="s">
        <v>64</v>
      </c>
      <c r="E38" s="2"/>
      <c r="F38" s="2">
        <v>2016</v>
      </c>
      <c r="G38" s="3">
        <v>43434</v>
      </c>
      <c r="H38" s="4">
        <v>84</v>
      </c>
      <c r="I38" s="4">
        <v>389</v>
      </c>
      <c r="J38" s="4">
        <v>3.95</v>
      </c>
      <c r="K38" s="4">
        <v>14.18</v>
      </c>
      <c r="L38" s="5">
        <v>4.28</v>
      </c>
      <c r="M38" s="2"/>
    </row>
    <row r="39" spans="1:14">
      <c r="A39" s="1">
        <v>38</v>
      </c>
      <c r="B39" s="2" t="s">
        <v>45</v>
      </c>
      <c r="C39" s="2" t="s">
        <v>12</v>
      </c>
      <c r="D39" s="2" t="s">
        <v>46</v>
      </c>
      <c r="E39" s="2"/>
      <c r="F39" s="2">
        <v>2016</v>
      </c>
      <c r="G39" s="3">
        <v>43438</v>
      </c>
      <c r="H39" s="4">
        <v>24</v>
      </c>
      <c r="I39" s="4">
        <v>116</v>
      </c>
      <c r="J39" s="4">
        <v>2.1</v>
      </c>
      <c r="K39" s="4">
        <v>5.81</v>
      </c>
      <c r="L39" s="5">
        <v>3</v>
      </c>
      <c r="M39" s="2"/>
    </row>
    <row r="40" spans="1:14">
      <c r="A40" s="1">
        <v>39</v>
      </c>
      <c r="B40" s="2" t="s">
        <v>45</v>
      </c>
      <c r="C40" s="2" t="s">
        <v>12</v>
      </c>
      <c r="D40" s="2" t="s">
        <v>49</v>
      </c>
      <c r="E40" s="2"/>
      <c r="F40" s="2">
        <v>2016</v>
      </c>
      <c r="G40" s="3">
        <v>43438</v>
      </c>
      <c r="H40" s="4">
        <v>14.7</v>
      </c>
      <c r="I40" s="4">
        <v>45.2</v>
      </c>
      <c r="J40" s="4">
        <v>1.1000000000000001</v>
      </c>
      <c r="K40" s="4">
        <v>0.97</v>
      </c>
      <c r="L40" s="5">
        <v>2.8</v>
      </c>
      <c r="M40" s="2"/>
    </row>
    <row r="41" spans="1:14">
      <c r="A41" s="1">
        <v>40</v>
      </c>
      <c r="B41" s="2" t="s">
        <v>50</v>
      </c>
      <c r="C41" s="2" t="s">
        <v>13</v>
      </c>
      <c r="D41" s="2" t="s">
        <v>61</v>
      </c>
      <c r="E41" s="2"/>
      <c r="F41" s="2">
        <v>2015</v>
      </c>
      <c r="G41" s="3">
        <v>43458</v>
      </c>
      <c r="H41" s="4">
        <v>77</v>
      </c>
      <c r="I41" s="4">
        <v>80.8</v>
      </c>
      <c r="J41" s="4">
        <v>0.97</v>
      </c>
      <c r="K41" s="4">
        <v>0.99</v>
      </c>
      <c r="L41" s="5">
        <v>10.5</v>
      </c>
      <c r="M41" s="2"/>
      <c r="N41" s="2" t="s">
        <v>67</v>
      </c>
    </row>
    <row r="42" spans="1:14">
      <c r="A42" s="1">
        <v>41</v>
      </c>
      <c r="B42" s="2" t="s">
        <v>165</v>
      </c>
      <c r="C42" s="2" t="s">
        <v>14</v>
      </c>
      <c r="D42" s="2" t="s">
        <v>51</v>
      </c>
      <c r="E42" s="2"/>
      <c r="F42" s="2">
        <v>2018</v>
      </c>
      <c r="G42" s="3">
        <v>43458</v>
      </c>
      <c r="H42" s="4">
        <v>1020</v>
      </c>
      <c r="I42" s="4">
        <v>2314</v>
      </c>
      <c r="J42" s="4">
        <v>58.2</v>
      </c>
      <c r="K42" s="4">
        <v>42</v>
      </c>
      <c r="L42" s="5">
        <v>7.78</v>
      </c>
      <c r="M42" s="2"/>
    </row>
    <row r="43" spans="1:14">
      <c r="A43" s="1">
        <v>42</v>
      </c>
      <c r="B43" s="2" t="s">
        <v>189</v>
      </c>
      <c r="C43" s="2" t="s">
        <v>12</v>
      </c>
      <c r="D43" s="2" t="s">
        <v>52</v>
      </c>
      <c r="E43" s="2"/>
      <c r="F43" s="2">
        <v>2018</v>
      </c>
      <c r="G43" s="3">
        <v>43487</v>
      </c>
      <c r="H43" s="4">
        <v>135</v>
      </c>
      <c r="I43" s="4">
        <v>652</v>
      </c>
      <c r="J43" s="4">
        <v>32.4</v>
      </c>
      <c r="K43" s="4">
        <v>15.45</v>
      </c>
      <c r="L43" s="5">
        <v>8.83</v>
      </c>
      <c r="M43" s="2"/>
    </row>
    <row r="44" spans="1:14">
      <c r="A44" s="1">
        <v>43</v>
      </c>
      <c r="B44" s="2" t="s">
        <v>127</v>
      </c>
      <c r="C44" s="2" t="s">
        <v>13</v>
      </c>
      <c r="D44" s="2" t="s">
        <v>53</v>
      </c>
      <c r="E44" s="2"/>
      <c r="F44" s="2">
        <v>2018</v>
      </c>
      <c r="G44" s="3">
        <v>43462</v>
      </c>
      <c r="H44" s="4">
        <v>1460</v>
      </c>
      <c r="I44" s="4">
        <v>2250</v>
      </c>
      <c r="J44" s="4">
        <v>77.099999999999994</v>
      </c>
      <c r="K44" s="4">
        <v>56.6</v>
      </c>
      <c r="L44" s="5">
        <v>10.5</v>
      </c>
      <c r="M44" s="2"/>
    </row>
    <row r="45" spans="1:14">
      <c r="A45" s="1">
        <v>44</v>
      </c>
      <c r="B45" s="2" t="s">
        <v>127</v>
      </c>
      <c r="C45" s="2" t="s">
        <v>13</v>
      </c>
      <c r="D45" s="2" t="s">
        <v>54</v>
      </c>
      <c r="E45" s="2" t="s">
        <v>55</v>
      </c>
      <c r="F45" s="2">
        <v>2018</v>
      </c>
      <c r="G45" s="3">
        <v>43462</v>
      </c>
      <c r="H45" s="4">
        <v>309.7</v>
      </c>
      <c r="I45" s="4">
        <v>125.2</v>
      </c>
      <c r="J45" s="4">
        <v>33</v>
      </c>
      <c r="K45" s="4">
        <v>46</v>
      </c>
      <c r="L45" s="5">
        <v>10.5</v>
      </c>
      <c r="M45" s="2"/>
    </row>
    <row r="46" spans="1:14">
      <c r="A46" s="1">
        <v>45</v>
      </c>
      <c r="B46" s="2" t="s">
        <v>129</v>
      </c>
      <c r="C46" s="2" t="s">
        <v>14</v>
      </c>
      <c r="D46" s="2" t="s">
        <v>130</v>
      </c>
      <c r="E46" s="2"/>
      <c r="F46" s="2">
        <v>2014</v>
      </c>
      <c r="G46" s="3">
        <v>43463</v>
      </c>
      <c r="H46" s="4">
        <v>95</v>
      </c>
      <c r="I46" s="4">
        <v>489</v>
      </c>
      <c r="J46" s="4">
        <v>11.5</v>
      </c>
      <c r="K46" s="4">
        <v>24.5</v>
      </c>
      <c r="L46" s="5">
        <v>3.31</v>
      </c>
      <c r="M46" s="2"/>
    </row>
    <row r="47" spans="1:14">
      <c r="A47" s="1">
        <v>46</v>
      </c>
      <c r="B47" s="2" t="s">
        <v>57</v>
      </c>
      <c r="C47" s="2" t="s">
        <v>12</v>
      </c>
      <c r="D47" s="2" t="s">
        <v>58</v>
      </c>
      <c r="E47" s="2"/>
      <c r="F47" s="2">
        <v>2018</v>
      </c>
      <c r="G47" s="3">
        <v>43465</v>
      </c>
      <c r="H47" s="4">
        <v>66.7</v>
      </c>
      <c r="I47" s="4">
        <v>150</v>
      </c>
      <c r="J47" s="4">
        <v>10.6</v>
      </c>
      <c r="K47" s="4">
        <v>6.9</v>
      </c>
      <c r="L47" s="5">
        <v>3.6</v>
      </c>
      <c r="M47" s="2"/>
    </row>
    <row r="48" spans="1:14">
      <c r="A48" s="1">
        <v>47</v>
      </c>
      <c r="B48" s="2" t="s">
        <v>50</v>
      </c>
      <c r="C48" s="2" t="s">
        <v>13</v>
      </c>
      <c r="D48" s="2" t="s">
        <v>60</v>
      </c>
      <c r="E48" s="2"/>
      <c r="F48" s="2">
        <v>2015</v>
      </c>
      <c r="G48" s="3">
        <v>43464</v>
      </c>
      <c r="H48" s="4">
        <v>35.200000000000003</v>
      </c>
      <c r="I48" s="4">
        <v>35.700000000000003</v>
      </c>
      <c r="J48" s="4">
        <v>0.87</v>
      </c>
      <c r="K48" s="4">
        <v>0.7</v>
      </c>
      <c r="L48" s="5">
        <v>10.5</v>
      </c>
      <c r="M48" s="2"/>
      <c r="N48" s="2" t="s">
        <v>67</v>
      </c>
    </row>
    <row r="49" spans="1:14">
      <c r="A49" s="1">
        <v>48</v>
      </c>
      <c r="B49" s="2" t="s">
        <v>62</v>
      </c>
      <c r="C49" s="2" t="s">
        <v>12</v>
      </c>
      <c r="D49" s="2" t="s">
        <v>63</v>
      </c>
      <c r="E49" s="2"/>
      <c r="F49" s="2">
        <v>2015</v>
      </c>
      <c r="G49" s="3">
        <v>43801</v>
      </c>
      <c r="H49" s="4">
        <v>25.9</v>
      </c>
      <c r="I49" s="4">
        <v>221</v>
      </c>
      <c r="J49" s="4">
        <v>1.9</v>
      </c>
      <c r="K49" s="4">
        <v>6.6</v>
      </c>
      <c r="L49" s="5">
        <v>1.1000000000000001</v>
      </c>
      <c r="M49" s="2"/>
    </row>
    <row r="50" spans="1:14">
      <c r="A50" s="1">
        <v>49</v>
      </c>
      <c r="B50" s="2" t="s">
        <v>66</v>
      </c>
      <c r="C50" s="2" t="s">
        <v>12</v>
      </c>
      <c r="D50" s="2" t="s">
        <v>65</v>
      </c>
      <c r="E50" s="2"/>
      <c r="F50" s="2">
        <v>2018</v>
      </c>
      <c r="G50" s="3">
        <v>43467</v>
      </c>
      <c r="H50" s="4">
        <v>40.200000000000003</v>
      </c>
      <c r="I50" s="4">
        <v>63.3</v>
      </c>
      <c r="J50" s="4">
        <v>2.1</v>
      </c>
      <c r="K50" s="4">
        <v>2.1</v>
      </c>
      <c r="L50" s="5">
        <v>1.3</v>
      </c>
      <c r="M50" s="2"/>
    </row>
    <row r="51" spans="1:14">
      <c r="A51" s="1">
        <v>50</v>
      </c>
      <c r="B51" s="2" t="s">
        <v>69</v>
      </c>
      <c r="C51" s="2" t="s">
        <v>12</v>
      </c>
      <c r="D51" s="2" t="s">
        <v>70</v>
      </c>
      <c r="E51" s="2"/>
      <c r="F51" s="2">
        <v>2015</v>
      </c>
      <c r="G51" s="3">
        <v>43470</v>
      </c>
      <c r="H51" s="4">
        <v>11.2</v>
      </c>
      <c r="I51" s="4">
        <v>60.3</v>
      </c>
      <c r="J51" s="4">
        <v>2.11</v>
      </c>
      <c r="K51" s="4">
        <v>4.0999999999999996</v>
      </c>
      <c r="L51" s="5">
        <v>0.61</v>
      </c>
      <c r="M51" s="2"/>
    </row>
    <row r="52" spans="1:14">
      <c r="A52" s="1">
        <v>51</v>
      </c>
      <c r="B52" s="2" t="s">
        <v>72</v>
      </c>
      <c r="C52" s="2" t="s">
        <v>12</v>
      </c>
      <c r="D52" s="2" t="s">
        <v>71</v>
      </c>
      <c r="E52" s="2"/>
      <c r="F52" s="2">
        <v>2017</v>
      </c>
      <c r="G52" s="3">
        <v>43470</v>
      </c>
      <c r="H52" s="4">
        <v>11.75</v>
      </c>
      <c r="I52" s="4">
        <v>54.8</v>
      </c>
      <c r="J52" s="4">
        <v>1.1299999999999999</v>
      </c>
      <c r="K52" s="4">
        <v>1.2</v>
      </c>
      <c r="L52" s="5">
        <v>0.73</v>
      </c>
      <c r="M52" s="2"/>
    </row>
    <row r="53" spans="1:14">
      <c r="A53" s="1">
        <v>52</v>
      </c>
      <c r="B53" s="2" t="s">
        <v>85</v>
      </c>
      <c r="C53" s="2" t="s">
        <v>14</v>
      </c>
      <c r="D53" s="2" t="s">
        <v>86</v>
      </c>
      <c r="E53" s="2"/>
      <c r="F53" s="2">
        <v>2007</v>
      </c>
      <c r="G53" s="3">
        <v>43470</v>
      </c>
      <c r="H53" s="4">
        <v>34.6</v>
      </c>
      <c r="I53" s="4">
        <v>51.1</v>
      </c>
      <c r="J53" s="4">
        <v>0.38</v>
      </c>
      <c r="K53" s="4">
        <v>0.37</v>
      </c>
      <c r="L53" s="5">
        <v>3.79</v>
      </c>
      <c r="M53" s="2"/>
      <c r="N53" s="2" t="s">
        <v>67</v>
      </c>
    </row>
    <row r="54" spans="1:14">
      <c r="A54" s="1">
        <v>53</v>
      </c>
      <c r="B54" s="2" t="s">
        <v>90</v>
      </c>
      <c r="C54" s="2" t="s">
        <v>12</v>
      </c>
      <c r="D54" s="2" t="s">
        <v>89</v>
      </c>
      <c r="F54" s="2">
        <v>2017</v>
      </c>
      <c r="G54" s="7">
        <v>43478</v>
      </c>
      <c r="H54" s="4">
        <v>90.6</v>
      </c>
      <c r="I54" s="4">
        <v>136.9</v>
      </c>
      <c r="J54" s="11">
        <v>6.6</v>
      </c>
      <c r="K54" s="4">
        <v>7.6</v>
      </c>
      <c r="L54" s="5">
        <v>1.8</v>
      </c>
    </row>
    <row r="55" spans="1:14">
      <c r="A55" s="1">
        <v>54</v>
      </c>
      <c r="B55" s="2" t="s">
        <v>91</v>
      </c>
      <c r="C55" s="2" t="s">
        <v>12</v>
      </c>
      <c r="D55" s="2" t="s">
        <v>92</v>
      </c>
      <c r="F55" s="2">
        <v>2017</v>
      </c>
      <c r="G55" s="7">
        <v>43478</v>
      </c>
      <c r="H55" s="4">
        <v>124.5</v>
      </c>
      <c r="I55" s="4">
        <v>385</v>
      </c>
      <c r="J55" s="11">
        <v>25.4</v>
      </c>
      <c r="K55" s="4">
        <v>19.3</v>
      </c>
      <c r="L55" s="5">
        <v>7.7</v>
      </c>
    </row>
    <row r="56" spans="1:14">
      <c r="A56" s="1">
        <v>55</v>
      </c>
      <c r="B56" s="2" t="s">
        <v>94</v>
      </c>
      <c r="C56" s="2" t="s">
        <v>12</v>
      </c>
      <c r="D56" s="2" t="s">
        <v>93</v>
      </c>
      <c r="F56" s="2">
        <v>2018</v>
      </c>
      <c r="G56" s="7">
        <v>43478</v>
      </c>
      <c r="H56" s="4">
        <v>119</v>
      </c>
      <c r="I56" s="4">
        <v>92.9</v>
      </c>
      <c r="J56" s="11">
        <v>11.9</v>
      </c>
      <c r="K56" s="4">
        <v>5.2</v>
      </c>
      <c r="L56" s="5">
        <v>4</v>
      </c>
    </row>
    <row r="57" spans="1:14">
      <c r="A57" s="1">
        <v>56</v>
      </c>
      <c r="B57" s="2" t="s">
        <v>95</v>
      </c>
      <c r="C57" s="2" t="s">
        <v>12</v>
      </c>
      <c r="D57" s="2" t="s">
        <v>89</v>
      </c>
      <c r="F57" s="2">
        <v>2018</v>
      </c>
      <c r="G57" s="7">
        <v>43478</v>
      </c>
      <c r="H57" s="4">
        <v>99.9</v>
      </c>
      <c r="I57" s="4">
        <v>133</v>
      </c>
      <c r="J57" s="11">
        <v>14.8</v>
      </c>
      <c r="K57" s="4">
        <v>8.1</v>
      </c>
      <c r="L57" s="5">
        <v>1.8</v>
      </c>
    </row>
    <row r="58" spans="1:14">
      <c r="A58" s="1">
        <v>57</v>
      </c>
      <c r="B58" s="2" t="s">
        <v>97</v>
      </c>
      <c r="C58" s="2" t="s">
        <v>12</v>
      </c>
      <c r="D58" s="2" t="s">
        <v>98</v>
      </c>
      <c r="F58" s="2">
        <v>2018</v>
      </c>
      <c r="G58" s="7">
        <v>43478</v>
      </c>
      <c r="H58" s="4">
        <v>123.8</v>
      </c>
      <c r="I58" s="4">
        <v>376.7</v>
      </c>
      <c r="J58" s="11">
        <v>24.6</v>
      </c>
      <c r="K58" s="4">
        <v>17.5</v>
      </c>
      <c r="L58" s="5">
        <v>5.7</v>
      </c>
    </row>
    <row r="59" spans="1:14">
      <c r="A59" s="1">
        <v>58</v>
      </c>
      <c r="B59" s="2" t="s">
        <v>96</v>
      </c>
      <c r="C59" s="2" t="s">
        <v>12</v>
      </c>
      <c r="D59" s="2" t="s">
        <v>92</v>
      </c>
      <c r="F59" s="2">
        <v>2018</v>
      </c>
      <c r="G59" s="7">
        <v>43478</v>
      </c>
      <c r="H59" s="4">
        <v>140.80000000000001</v>
      </c>
      <c r="I59" s="4">
        <v>447.7</v>
      </c>
      <c r="J59" s="11">
        <v>33.799999999999997</v>
      </c>
      <c r="K59" s="4">
        <v>23.9</v>
      </c>
      <c r="L59" s="5">
        <v>7.4</v>
      </c>
    </row>
    <row r="60" spans="1:14">
      <c r="A60" s="1">
        <v>59</v>
      </c>
      <c r="B60" s="2" t="s">
        <v>99</v>
      </c>
      <c r="C60" s="2" t="s">
        <v>12</v>
      </c>
      <c r="D60" s="2" t="s">
        <v>100</v>
      </c>
      <c r="F60" s="2">
        <v>2018</v>
      </c>
      <c r="G60" s="7">
        <v>43478</v>
      </c>
      <c r="H60" s="4">
        <v>60.9</v>
      </c>
      <c r="I60" s="4">
        <v>210</v>
      </c>
      <c r="J60" s="4">
        <v>1.4</v>
      </c>
      <c r="K60" s="4">
        <v>7.7</v>
      </c>
      <c r="L60" s="5">
        <v>3.9</v>
      </c>
    </row>
    <row r="61" spans="1:14">
      <c r="A61" s="1">
        <v>60</v>
      </c>
      <c r="B61" s="2" t="s">
        <v>101</v>
      </c>
      <c r="C61" s="2" t="s">
        <v>12</v>
      </c>
      <c r="D61" s="2" t="s">
        <v>102</v>
      </c>
      <c r="F61" s="2">
        <v>2017</v>
      </c>
      <c r="G61" s="7">
        <v>43478</v>
      </c>
      <c r="H61" s="4">
        <v>57.8</v>
      </c>
      <c r="I61" s="4">
        <v>196.8</v>
      </c>
      <c r="J61" s="4">
        <v>3.5</v>
      </c>
      <c r="K61" s="4">
        <v>8.8000000000000007</v>
      </c>
      <c r="L61" s="5">
        <v>3.8</v>
      </c>
    </row>
    <row r="62" spans="1:14">
      <c r="A62" s="1">
        <v>61</v>
      </c>
      <c r="B62" s="2" t="s">
        <v>103</v>
      </c>
      <c r="C62" s="2" t="s">
        <v>12</v>
      </c>
      <c r="D62" s="2" t="s">
        <v>104</v>
      </c>
      <c r="F62" s="2">
        <v>2017</v>
      </c>
      <c r="G62" s="7">
        <v>43478</v>
      </c>
      <c r="H62" s="4">
        <v>115.9</v>
      </c>
      <c r="I62" s="4">
        <v>469.4</v>
      </c>
      <c r="J62" s="4">
        <v>2.5</v>
      </c>
      <c r="K62" s="4">
        <v>13</v>
      </c>
      <c r="L62" s="5">
        <v>5.9</v>
      </c>
    </row>
    <row r="63" spans="1:14">
      <c r="A63" s="1">
        <v>62</v>
      </c>
      <c r="B63" s="2" t="s">
        <v>105</v>
      </c>
      <c r="C63" s="2" t="s">
        <v>12</v>
      </c>
      <c r="D63" s="2" t="s">
        <v>106</v>
      </c>
      <c r="F63" s="2">
        <v>2018</v>
      </c>
      <c r="G63" s="7">
        <v>43478</v>
      </c>
      <c r="H63" s="4">
        <v>98.5</v>
      </c>
      <c r="I63" s="4">
        <v>148.5</v>
      </c>
      <c r="J63" s="4">
        <v>3.7</v>
      </c>
      <c r="K63" s="4">
        <v>8.5</v>
      </c>
      <c r="L63" s="5">
        <v>4.7</v>
      </c>
    </row>
    <row r="64" spans="1:14">
      <c r="A64" s="1">
        <v>63</v>
      </c>
      <c r="B64" s="2" t="s">
        <v>107</v>
      </c>
      <c r="C64" s="2" t="s">
        <v>12</v>
      </c>
      <c r="D64" s="2" t="s">
        <v>108</v>
      </c>
      <c r="F64" s="2">
        <v>2016</v>
      </c>
      <c r="G64" s="7">
        <v>43478</v>
      </c>
      <c r="H64" s="4">
        <v>40.200000000000003</v>
      </c>
      <c r="I64" s="4">
        <v>72.099999999999994</v>
      </c>
      <c r="J64" s="4">
        <v>2.6</v>
      </c>
      <c r="K64" s="4">
        <v>5.3</v>
      </c>
      <c r="L64" s="5">
        <v>0.79</v>
      </c>
    </row>
    <row r="65" spans="1:12">
      <c r="A65" s="1">
        <v>64</v>
      </c>
      <c r="B65" s="2" t="s">
        <v>110</v>
      </c>
      <c r="C65" s="2" t="s">
        <v>12</v>
      </c>
      <c r="D65" s="2" t="s">
        <v>109</v>
      </c>
      <c r="F65" s="2">
        <v>2017</v>
      </c>
      <c r="G65" s="7">
        <v>43478</v>
      </c>
      <c r="H65" s="4">
        <v>120</v>
      </c>
      <c r="I65" s="4">
        <v>245.9</v>
      </c>
      <c r="J65" s="4">
        <v>5.9</v>
      </c>
      <c r="K65" s="4">
        <v>11.6</v>
      </c>
      <c r="L65" s="5">
        <v>7.4</v>
      </c>
    </row>
    <row r="66" spans="1:12">
      <c r="A66" s="1">
        <v>65</v>
      </c>
      <c r="B66" s="2" t="s">
        <v>111</v>
      </c>
      <c r="C66" s="2" t="s">
        <v>12</v>
      </c>
      <c r="D66" s="2" t="s">
        <v>58</v>
      </c>
      <c r="F66" s="2">
        <v>2018</v>
      </c>
      <c r="G66" s="7">
        <v>43478</v>
      </c>
      <c r="H66" s="4">
        <v>86.4</v>
      </c>
      <c r="I66" s="4">
        <v>208</v>
      </c>
      <c r="J66" s="4">
        <v>11.8</v>
      </c>
      <c r="K66" s="4">
        <v>10.6</v>
      </c>
      <c r="L66" s="5">
        <v>3.5</v>
      </c>
    </row>
    <row r="67" spans="1:12">
      <c r="A67" s="1">
        <v>66</v>
      </c>
      <c r="B67" s="2" t="s">
        <v>112</v>
      </c>
      <c r="C67" s="2" t="s">
        <v>12</v>
      </c>
      <c r="D67" s="2" t="s">
        <v>113</v>
      </c>
      <c r="F67" s="2">
        <v>2017</v>
      </c>
      <c r="G67" s="7">
        <v>43478</v>
      </c>
      <c r="H67" s="4">
        <v>105.6</v>
      </c>
      <c r="I67" s="4">
        <v>481.6</v>
      </c>
      <c r="J67" s="4">
        <v>4.5</v>
      </c>
      <c r="K67" s="4">
        <v>11.3</v>
      </c>
      <c r="L67" s="5">
        <v>7.3</v>
      </c>
    </row>
    <row r="68" spans="1:12">
      <c r="A68" s="1">
        <v>67</v>
      </c>
      <c r="B68" s="2" t="s">
        <v>114</v>
      </c>
      <c r="C68" s="2" t="s">
        <v>12</v>
      </c>
      <c r="D68" s="2" t="s">
        <v>118</v>
      </c>
      <c r="F68" s="2">
        <v>2018</v>
      </c>
      <c r="G68" s="7">
        <v>43478</v>
      </c>
      <c r="H68" s="4">
        <v>90.4</v>
      </c>
      <c r="I68" s="4">
        <v>253.4</v>
      </c>
      <c r="J68" s="4">
        <v>4.3</v>
      </c>
      <c r="K68" s="4">
        <v>13.8</v>
      </c>
      <c r="L68" s="5">
        <v>4.7</v>
      </c>
    </row>
    <row r="69" spans="1:12">
      <c r="A69" s="1">
        <v>68</v>
      </c>
      <c r="B69" s="2" t="s">
        <v>119</v>
      </c>
      <c r="C69" s="2" t="s">
        <v>12</v>
      </c>
      <c r="D69" s="2" t="s">
        <v>120</v>
      </c>
      <c r="F69" s="2">
        <v>2018</v>
      </c>
      <c r="G69" s="7">
        <v>43513</v>
      </c>
      <c r="H69" s="4">
        <v>123.5</v>
      </c>
      <c r="I69" s="4">
        <v>512.6</v>
      </c>
      <c r="J69" s="4">
        <v>4.7</v>
      </c>
      <c r="K69" s="4">
        <v>10.7</v>
      </c>
      <c r="L69" s="5">
        <v>8</v>
      </c>
    </row>
    <row r="70" spans="1:12">
      <c r="A70" s="1">
        <v>69</v>
      </c>
      <c r="B70" s="2" t="s">
        <v>121</v>
      </c>
      <c r="C70" s="2" t="s">
        <v>12</v>
      </c>
      <c r="D70" s="2" t="s">
        <v>120</v>
      </c>
      <c r="F70" s="2">
        <v>2018</v>
      </c>
      <c r="G70" s="7">
        <v>43478</v>
      </c>
      <c r="H70" s="4">
        <v>96.2</v>
      </c>
      <c r="I70" s="4">
        <v>544.5</v>
      </c>
      <c r="J70" s="4">
        <v>4.2</v>
      </c>
      <c r="K70" s="4">
        <v>13.7</v>
      </c>
      <c r="L70" s="5">
        <v>8.1999999999999993</v>
      </c>
    </row>
    <row r="71" spans="1:12">
      <c r="A71" s="1">
        <v>70</v>
      </c>
      <c r="B71" s="2" t="s">
        <v>122</v>
      </c>
      <c r="C71" s="2" t="s">
        <v>14</v>
      </c>
      <c r="D71" s="2" t="s">
        <v>131</v>
      </c>
      <c r="F71" s="2">
        <v>2018</v>
      </c>
      <c r="G71" s="7">
        <v>43478</v>
      </c>
      <c r="H71" s="4">
        <v>32.4</v>
      </c>
      <c r="I71" s="4">
        <v>135.13999999999999</v>
      </c>
      <c r="J71" s="4">
        <v>0.56000000000000005</v>
      </c>
      <c r="K71" s="4">
        <v>0.47499999999999998</v>
      </c>
      <c r="L71" s="5">
        <v>5.65</v>
      </c>
    </row>
    <row r="72" spans="1:12">
      <c r="A72" s="1">
        <v>71</v>
      </c>
      <c r="B72" s="2" t="s">
        <v>123</v>
      </c>
      <c r="C72" s="2" t="s">
        <v>14</v>
      </c>
      <c r="D72" s="2" t="s">
        <v>124</v>
      </c>
      <c r="F72" s="2">
        <v>2018</v>
      </c>
      <c r="G72" s="7">
        <v>43478</v>
      </c>
      <c r="H72" s="4">
        <v>47.5</v>
      </c>
      <c r="I72" s="4">
        <v>89.6</v>
      </c>
      <c r="J72" s="4">
        <v>0.44</v>
      </c>
      <c r="K72" s="4">
        <v>0.40799999999999997</v>
      </c>
      <c r="L72" s="5">
        <v>3.3</v>
      </c>
    </row>
    <row r="73" spans="1:12">
      <c r="A73" s="1">
        <v>72</v>
      </c>
      <c r="B73" s="2" t="s">
        <v>132</v>
      </c>
      <c r="C73" s="2" t="s">
        <v>12</v>
      </c>
      <c r="D73" s="2" t="s">
        <v>80</v>
      </c>
      <c r="F73" s="2">
        <v>2017</v>
      </c>
      <c r="G73" s="7">
        <v>43480</v>
      </c>
      <c r="H73" s="4">
        <v>106.3</v>
      </c>
      <c r="I73" s="4">
        <v>479.2</v>
      </c>
      <c r="J73" s="4">
        <v>4.5</v>
      </c>
      <c r="K73" s="4">
        <v>12.6</v>
      </c>
      <c r="L73" s="5">
        <v>7.1</v>
      </c>
    </row>
    <row r="74" spans="1:12">
      <c r="A74" s="1">
        <v>73</v>
      </c>
      <c r="B74" s="2" t="s">
        <v>135</v>
      </c>
      <c r="C74" s="2" t="s">
        <v>12</v>
      </c>
      <c r="D74" s="2" t="s">
        <v>133</v>
      </c>
      <c r="F74" s="2">
        <v>2018</v>
      </c>
      <c r="G74" s="7">
        <v>43480</v>
      </c>
      <c r="H74" s="4">
        <v>91.5</v>
      </c>
      <c r="I74" s="4">
        <v>248.8</v>
      </c>
      <c r="J74" s="4">
        <v>3.6</v>
      </c>
      <c r="K74" s="4">
        <v>11.5</v>
      </c>
      <c r="L74" s="5">
        <v>1.5</v>
      </c>
    </row>
    <row r="75" spans="1:12">
      <c r="A75" s="1">
        <v>74</v>
      </c>
      <c r="B75" s="2" t="s">
        <v>136</v>
      </c>
      <c r="C75" s="2" t="s">
        <v>12</v>
      </c>
      <c r="D75" s="2" t="s">
        <v>134</v>
      </c>
      <c r="F75" s="2">
        <v>2017</v>
      </c>
      <c r="G75" s="7">
        <v>43480</v>
      </c>
      <c r="H75" s="4">
        <v>85.4</v>
      </c>
      <c r="I75" s="4">
        <v>380.9</v>
      </c>
      <c r="J75" s="4">
        <v>4.9000000000000004</v>
      </c>
      <c r="K75" s="4">
        <v>13.1</v>
      </c>
      <c r="L75" s="5">
        <v>7.1</v>
      </c>
    </row>
    <row r="76" spans="1:12">
      <c r="A76" s="1">
        <v>75</v>
      </c>
      <c r="B76" s="2" t="s">
        <v>137</v>
      </c>
      <c r="C76" s="2" t="s">
        <v>12</v>
      </c>
      <c r="D76" s="2" t="s">
        <v>120</v>
      </c>
      <c r="F76" s="2">
        <v>2018</v>
      </c>
      <c r="G76" s="7">
        <v>43480</v>
      </c>
      <c r="H76" s="4">
        <v>125.5</v>
      </c>
      <c r="I76" s="4">
        <v>742.4</v>
      </c>
      <c r="J76" s="4">
        <v>4.9000000000000004</v>
      </c>
      <c r="K76" s="4">
        <v>11.3</v>
      </c>
      <c r="L76" s="5">
        <v>8.3000000000000007</v>
      </c>
    </row>
    <row r="77" spans="1:12">
      <c r="A77" s="1">
        <v>76</v>
      </c>
      <c r="B77" s="2" t="s">
        <v>138</v>
      </c>
      <c r="C77" s="2" t="s">
        <v>12</v>
      </c>
      <c r="D77" s="2" t="s">
        <v>139</v>
      </c>
      <c r="F77" s="2">
        <v>2018</v>
      </c>
      <c r="G77" s="7">
        <v>43480</v>
      </c>
      <c r="H77" s="4">
        <v>124.8</v>
      </c>
      <c r="I77" s="4">
        <v>667.9</v>
      </c>
      <c r="J77" s="4">
        <v>5.3</v>
      </c>
      <c r="K77" s="4">
        <v>15.2</v>
      </c>
      <c r="L77" s="5">
        <v>7.6</v>
      </c>
    </row>
    <row r="78" spans="1:12">
      <c r="A78" s="1">
        <v>77</v>
      </c>
      <c r="B78" s="2" t="s">
        <v>140</v>
      </c>
      <c r="C78" s="2" t="s">
        <v>12</v>
      </c>
      <c r="D78" s="2" t="s">
        <v>141</v>
      </c>
      <c r="F78" s="2">
        <v>2016</v>
      </c>
      <c r="G78" s="7">
        <v>43480</v>
      </c>
      <c r="H78" s="4">
        <v>91.5</v>
      </c>
      <c r="I78" s="4">
        <v>495.6</v>
      </c>
      <c r="J78" s="4">
        <v>3.6</v>
      </c>
      <c r="K78" s="4">
        <v>10.3</v>
      </c>
      <c r="L78" s="5">
        <v>4.7</v>
      </c>
    </row>
    <row r="79" spans="1:12">
      <c r="A79" s="1">
        <v>78</v>
      </c>
      <c r="B79" s="2" t="s">
        <v>142</v>
      </c>
      <c r="C79" s="2" t="s">
        <v>12</v>
      </c>
      <c r="D79" s="2" t="s">
        <v>120</v>
      </c>
      <c r="F79" s="2">
        <v>2018</v>
      </c>
      <c r="G79" s="7">
        <v>43480</v>
      </c>
      <c r="H79" s="4">
        <v>136.1</v>
      </c>
      <c r="I79" s="4">
        <v>586</v>
      </c>
      <c r="J79" s="4">
        <v>5.8</v>
      </c>
      <c r="K79" s="4">
        <v>10.3</v>
      </c>
      <c r="L79" s="5">
        <v>8.1</v>
      </c>
    </row>
    <row r="80" spans="1:12">
      <c r="A80" s="1">
        <v>79</v>
      </c>
      <c r="B80" s="2" t="s">
        <v>144</v>
      </c>
      <c r="C80" s="2" t="s">
        <v>14</v>
      </c>
      <c r="D80" s="2" t="s">
        <v>143</v>
      </c>
      <c r="F80" s="2">
        <v>2018</v>
      </c>
      <c r="G80" s="7">
        <v>43480</v>
      </c>
      <c r="H80" s="4">
        <v>920</v>
      </c>
      <c r="I80" s="4">
        <v>1945</v>
      </c>
      <c r="J80" s="4">
        <v>55.4</v>
      </c>
      <c r="K80" s="4">
        <v>55.3</v>
      </c>
      <c r="L80" s="5">
        <v>4.75</v>
      </c>
    </row>
    <row r="81" spans="1:12">
      <c r="A81" s="1">
        <v>80</v>
      </c>
      <c r="B81" s="2" t="s">
        <v>146</v>
      </c>
      <c r="C81" s="2" t="s">
        <v>12</v>
      </c>
      <c r="D81" s="2" t="s">
        <v>145</v>
      </c>
      <c r="F81" s="2">
        <v>2018</v>
      </c>
      <c r="G81" s="7">
        <v>43480</v>
      </c>
      <c r="H81" s="4">
        <v>57.9</v>
      </c>
      <c r="I81" s="4">
        <v>219.9</v>
      </c>
      <c r="J81" s="4">
        <v>2.2999999999999998</v>
      </c>
      <c r="K81" s="4">
        <v>13.9</v>
      </c>
      <c r="L81" s="5">
        <v>1.4</v>
      </c>
    </row>
    <row r="82" spans="1:12">
      <c r="A82" s="1">
        <v>81</v>
      </c>
      <c r="B82" s="2" t="s">
        <v>147</v>
      </c>
      <c r="C82" s="2" t="s">
        <v>12</v>
      </c>
      <c r="D82" s="2" t="s">
        <v>148</v>
      </c>
      <c r="F82" s="2">
        <v>2018</v>
      </c>
      <c r="G82" s="7">
        <v>43480</v>
      </c>
      <c r="H82" s="4">
        <v>101.8</v>
      </c>
      <c r="I82" s="4">
        <v>351.6</v>
      </c>
      <c r="J82" s="4">
        <v>2.5</v>
      </c>
      <c r="K82" s="4">
        <v>14.8</v>
      </c>
      <c r="L82" s="5">
        <v>4.4000000000000004</v>
      </c>
    </row>
    <row r="83" spans="1:12">
      <c r="A83" s="1">
        <v>82</v>
      </c>
      <c r="B83" s="2" t="s">
        <v>150</v>
      </c>
      <c r="C83" s="2" t="s">
        <v>12</v>
      </c>
      <c r="D83" t="s">
        <v>80</v>
      </c>
      <c r="F83" s="2">
        <v>2018</v>
      </c>
      <c r="G83" s="7">
        <v>43480</v>
      </c>
      <c r="H83" s="4">
        <v>120.9</v>
      </c>
      <c r="I83" s="4">
        <v>617.29999999999995</v>
      </c>
      <c r="J83" s="4">
        <v>2.1800000000000002</v>
      </c>
      <c r="K83" s="4">
        <v>14.71</v>
      </c>
      <c r="L83" s="5">
        <v>7.3</v>
      </c>
    </row>
    <row r="84" spans="1:12">
      <c r="A84" s="1">
        <v>83</v>
      </c>
      <c r="B84" s="2" t="s">
        <v>149</v>
      </c>
      <c r="C84" s="2" t="s">
        <v>12</v>
      </c>
      <c r="D84" s="2" t="s">
        <v>151</v>
      </c>
      <c r="F84" s="2">
        <v>2018</v>
      </c>
      <c r="G84" s="7">
        <v>43480</v>
      </c>
      <c r="H84" s="4">
        <v>48</v>
      </c>
      <c r="I84" s="4">
        <v>221</v>
      </c>
      <c r="J84" s="4">
        <v>2.1</v>
      </c>
      <c r="K84" s="4">
        <v>10.220000000000001</v>
      </c>
      <c r="L84" s="5">
        <v>1.35</v>
      </c>
    </row>
    <row r="85" spans="1:12">
      <c r="A85" s="1">
        <v>84</v>
      </c>
      <c r="B85" s="2" t="s">
        <v>0</v>
      </c>
      <c r="C85" s="2" t="s">
        <v>12</v>
      </c>
      <c r="D85" s="2" t="s">
        <v>152</v>
      </c>
      <c r="F85" s="2">
        <v>2018</v>
      </c>
      <c r="G85" s="7">
        <v>43480</v>
      </c>
      <c r="H85" s="4">
        <v>126.6</v>
      </c>
      <c r="I85" s="4">
        <v>523.9</v>
      </c>
      <c r="J85" s="4">
        <v>1.9</v>
      </c>
      <c r="K85" s="4">
        <v>13.1</v>
      </c>
      <c r="L85" s="5">
        <v>9.6999999999999993</v>
      </c>
    </row>
    <row r="86" spans="1:12">
      <c r="A86" s="1">
        <v>85</v>
      </c>
      <c r="B86" s="2" t="s">
        <v>153</v>
      </c>
      <c r="C86" s="2" t="s">
        <v>12</v>
      </c>
      <c r="D86" s="2" t="s">
        <v>154</v>
      </c>
      <c r="F86" s="2">
        <v>2018</v>
      </c>
      <c r="G86" s="7">
        <v>43480</v>
      </c>
      <c r="H86" s="4">
        <v>130</v>
      </c>
      <c r="I86" s="4">
        <v>608.29999999999995</v>
      </c>
      <c r="J86" s="4">
        <v>1.9</v>
      </c>
      <c r="K86" s="4">
        <v>13.4</v>
      </c>
      <c r="L86" s="5">
        <v>10.4</v>
      </c>
    </row>
    <row r="87" spans="1:12">
      <c r="A87" s="1">
        <v>86</v>
      </c>
      <c r="B87" s="2" t="s">
        <v>178</v>
      </c>
      <c r="C87" s="2" t="s">
        <v>13</v>
      </c>
      <c r="D87" s="2" t="s">
        <v>177</v>
      </c>
      <c r="F87" s="2">
        <v>2015</v>
      </c>
      <c r="G87" s="7">
        <v>43482</v>
      </c>
      <c r="H87" s="4">
        <v>586</v>
      </c>
      <c r="I87" s="4">
        <v>429</v>
      </c>
      <c r="J87" s="4">
        <v>47.24</v>
      </c>
      <c r="K87" s="4">
        <v>55</v>
      </c>
      <c r="L87" s="5">
        <v>4.4800000000000004</v>
      </c>
    </row>
    <row r="88" spans="1:12">
      <c r="A88" s="1">
        <v>87</v>
      </c>
      <c r="B88" s="2" t="s">
        <v>159</v>
      </c>
      <c r="C88" s="2" t="s">
        <v>14</v>
      </c>
      <c r="D88" s="2" t="s">
        <v>160</v>
      </c>
      <c r="F88" s="2">
        <v>2018</v>
      </c>
      <c r="G88" s="7">
        <v>43482</v>
      </c>
      <c r="H88" s="4">
        <v>1085</v>
      </c>
      <c r="I88" s="4">
        <v>2550</v>
      </c>
      <c r="J88" s="4">
        <v>65.5</v>
      </c>
      <c r="K88" s="4">
        <v>32</v>
      </c>
      <c r="L88" s="5">
        <v>5.64</v>
      </c>
    </row>
    <row r="89" spans="1:12">
      <c r="A89" s="1">
        <v>88</v>
      </c>
      <c r="B89" s="2" t="s">
        <v>161</v>
      </c>
      <c r="C89" s="2" t="s">
        <v>14</v>
      </c>
      <c r="D89" s="2" t="s">
        <v>163</v>
      </c>
      <c r="F89" s="2">
        <v>2018</v>
      </c>
      <c r="G89" s="7">
        <v>43482</v>
      </c>
      <c r="H89" s="4">
        <v>329</v>
      </c>
      <c r="I89" s="4">
        <v>486</v>
      </c>
      <c r="J89" s="4">
        <v>40.1</v>
      </c>
      <c r="K89" s="4">
        <v>20.7</v>
      </c>
      <c r="L89" s="5">
        <v>4.8099999999999996</v>
      </c>
    </row>
    <row r="90" spans="1:12">
      <c r="A90" s="1">
        <v>89</v>
      </c>
      <c r="B90" s="2" t="s">
        <v>162</v>
      </c>
      <c r="C90" s="2" t="s">
        <v>14</v>
      </c>
      <c r="D90" s="2" t="s">
        <v>164</v>
      </c>
      <c r="F90" s="2">
        <v>2018</v>
      </c>
      <c r="G90" s="7">
        <v>43482</v>
      </c>
      <c r="H90" s="4">
        <v>66.900000000000006</v>
      </c>
      <c r="I90" s="4">
        <v>129.19999999999999</v>
      </c>
      <c r="J90" s="4">
        <v>1.51</v>
      </c>
      <c r="K90" s="4">
        <v>0.48</v>
      </c>
      <c r="L90" s="5">
        <v>5.17</v>
      </c>
    </row>
    <row r="91" spans="1:12">
      <c r="A91" s="1">
        <v>90</v>
      </c>
      <c r="B91" s="2" t="s">
        <v>166</v>
      </c>
      <c r="C91" s="2" t="s">
        <v>14</v>
      </c>
      <c r="D91" s="2" t="s">
        <v>167</v>
      </c>
      <c r="F91" s="2">
        <v>2018</v>
      </c>
      <c r="G91" s="7">
        <v>43482</v>
      </c>
      <c r="H91" s="4">
        <v>1050</v>
      </c>
      <c r="I91" s="4">
        <v>2260</v>
      </c>
      <c r="J91" s="4">
        <v>57.9</v>
      </c>
      <c r="K91" s="4">
        <v>38.9</v>
      </c>
      <c r="L91" s="5">
        <v>7.57</v>
      </c>
    </row>
    <row r="92" spans="1:12">
      <c r="A92" s="1">
        <v>91</v>
      </c>
      <c r="B92" s="2" t="s">
        <v>168</v>
      </c>
      <c r="C92" s="2" t="s">
        <v>12</v>
      </c>
      <c r="D92" s="2" t="s">
        <v>169</v>
      </c>
      <c r="F92" s="2">
        <v>2018</v>
      </c>
      <c r="G92" s="7">
        <v>43482</v>
      </c>
      <c r="H92" s="4">
        <v>131.30000000000001</v>
      </c>
      <c r="I92" s="4">
        <v>605.9</v>
      </c>
      <c r="J92" s="4">
        <v>4.9000000000000004</v>
      </c>
      <c r="K92" s="4">
        <v>11.9</v>
      </c>
      <c r="L92" s="5">
        <v>8.1999999999999993</v>
      </c>
    </row>
    <row r="93" spans="1:12">
      <c r="A93" s="1">
        <v>92</v>
      </c>
      <c r="B93" s="2" t="s">
        <v>170</v>
      </c>
      <c r="C93" s="2" t="s">
        <v>12</v>
      </c>
      <c r="D93" s="2" t="s">
        <v>171</v>
      </c>
      <c r="F93" s="2">
        <v>2018</v>
      </c>
      <c r="G93" s="7">
        <v>43482</v>
      </c>
      <c r="H93" s="4">
        <v>109.9</v>
      </c>
      <c r="I93" s="4">
        <v>247</v>
      </c>
      <c r="J93" s="4">
        <v>15.2</v>
      </c>
      <c r="K93" s="4">
        <v>13</v>
      </c>
      <c r="L93" s="5">
        <v>3.6</v>
      </c>
    </row>
    <row r="94" spans="1:12">
      <c r="A94" s="1">
        <v>93</v>
      </c>
      <c r="B94" s="8" t="s">
        <v>173</v>
      </c>
      <c r="C94" s="8" t="s">
        <v>12</v>
      </c>
      <c r="D94" s="8" t="s">
        <v>172</v>
      </c>
      <c r="E94" s="9"/>
      <c r="F94" s="8">
        <v>2018</v>
      </c>
      <c r="G94" s="7">
        <v>43482</v>
      </c>
      <c r="H94" s="4">
        <v>128.6</v>
      </c>
      <c r="I94" s="4">
        <v>530.9</v>
      </c>
      <c r="J94" s="4">
        <v>4.8</v>
      </c>
      <c r="K94" s="4">
        <v>10.5</v>
      </c>
      <c r="L94" s="5">
        <v>8.5</v>
      </c>
    </row>
    <row r="95" spans="1:12">
      <c r="A95" s="1">
        <v>94</v>
      </c>
      <c r="B95" s="2" t="s">
        <v>174</v>
      </c>
      <c r="C95" s="2" t="s">
        <v>12</v>
      </c>
      <c r="D95" s="2" t="s">
        <v>175</v>
      </c>
      <c r="F95" s="2">
        <v>2018</v>
      </c>
      <c r="G95" s="7">
        <v>43482</v>
      </c>
      <c r="H95" s="4">
        <v>68.3</v>
      </c>
      <c r="I95" s="4">
        <v>206.9</v>
      </c>
      <c r="J95" s="4">
        <v>2.6</v>
      </c>
      <c r="K95" s="4">
        <v>8.6</v>
      </c>
      <c r="L95" s="5">
        <v>4.7</v>
      </c>
    </row>
    <row r="96" spans="1:12">
      <c r="A96" s="1">
        <v>95</v>
      </c>
      <c r="B96" s="2" t="s">
        <v>176</v>
      </c>
      <c r="C96" s="2" t="s">
        <v>12</v>
      </c>
      <c r="D96" s="2" t="s">
        <v>59</v>
      </c>
      <c r="F96" s="2">
        <v>2018</v>
      </c>
      <c r="G96" s="7">
        <v>43482</v>
      </c>
      <c r="H96" s="4">
        <v>61</v>
      </c>
      <c r="I96" s="4">
        <v>218</v>
      </c>
      <c r="J96" s="4">
        <v>2.9</v>
      </c>
      <c r="K96" s="4">
        <v>8.8000000000000007</v>
      </c>
      <c r="L96" s="5">
        <v>1.5</v>
      </c>
    </row>
    <row r="97" spans="1:14">
      <c r="A97" s="1">
        <v>96</v>
      </c>
      <c r="B97" s="2" t="s">
        <v>126</v>
      </c>
      <c r="C97" s="2" t="s">
        <v>13</v>
      </c>
      <c r="D97" s="2" t="s">
        <v>179</v>
      </c>
      <c r="F97" s="2">
        <v>2017</v>
      </c>
      <c r="G97" s="7">
        <v>43483</v>
      </c>
      <c r="H97" s="4">
        <v>1115</v>
      </c>
      <c r="I97" s="4">
        <v>1505</v>
      </c>
      <c r="J97" s="4">
        <v>92.6</v>
      </c>
      <c r="K97" s="4">
        <v>56.5</v>
      </c>
      <c r="L97" s="5">
        <v>8.4499999999999993</v>
      </c>
    </row>
    <row r="98" spans="1:14">
      <c r="A98" s="1">
        <v>97</v>
      </c>
      <c r="B98" s="2" t="s">
        <v>183</v>
      </c>
      <c r="C98" s="2" t="s">
        <v>12</v>
      </c>
      <c r="D98" s="2" t="s">
        <v>184</v>
      </c>
      <c r="F98" s="2">
        <v>2018</v>
      </c>
      <c r="G98" s="7">
        <v>43483</v>
      </c>
      <c r="H98" s="4">
        <v>113</v>
      </c>
      <c r="I98" s="4">
        <v>480</v>
      </c>
      <c r="J98" s="4">
        <v>5.3</v>
      </c>
      <c r="K98" s="4">
        <v>10.9</v>
      </c>
      <c r="L98" s="5">
        <v>7.1</v>
      </c>
    </row>
    <row r="99" spans="1:14">
      <c r="A99" s="1">
        <v>98</v>
      </c>
      <c r="B99" s="2" t="s">
        <v>185</v>
      </c>
      <c r="C99" s="2" t="s">
        <v>12</v>
      </c>
      <c r="D99" s="2" t="s">
        <v>186</v>
      </c>
      <c r="F99" s="2">
        <v>2015</v>
      </c>
      <c r="G99" s="7">
        <v>43483</v>
      </c>
      <c r="H99" s="4">
        <v>7.6</v>
      </c>
      <c r="I99" s="4">
        <v>97.6</v>
      </c>
      <c r="J99" s="4">
        <v>2</v>
      </c>
      <c r="K99" s="4">
        <v>6.5</v>
      </c>
      <c r="L99" s="5">
        <v>1.44</v>
      </c>
    </row>
    <row r="100" spans="1:14">
      <c r="A100" s="1">
        <v>99</v>
      </c>
      <c r="B100" s="2" t="s">
        <v>187</v>
      </c>
      <c r="C100" s="2" t="s">
        <v>12</v>
      </c>
      <c r="D100" t="s">
        <v>188</v>
      </c>
      <c r="F100" s="2">
        <v>2018</v>
      </c>
      <c r="G100" s="7">
        <v>43484</v>
      </c>
      <c r="H100" s="4">
        <v>44.3</v>
      </c>
      <c r="I100" s="4">
        <v>74</v>
      </c>
      <c r="J100" s="4">
        <v>1.9</v>
      </c>
      <c r="K100" s="4">
        <v>7.9</v>
      </c>
      <c r="L100" s="5">
        <v>3.52</v>
      </c>
    </row>
    <row r="101" spans="1:14">
      <c r="A101" s="1">
        <v>100</v>
      </c>
      <c r="B101" s="2" t="s">
        <v>190</v>
      </c>
      <c r="C101" s="2" t="s">
        <v>13</v>
      </c>
      <c r="D101" s="2" t="s">
        <v>191</v>
      </c>
      <c r="F101" s="2">
        <v>2016</v>
      </c>
      <c r="G101" s="7">
        <v>43488</v>
      </c>
      <c r="H101" s="4">
        <v>12.8</v>
      </c>
      <c r="I101" s="4">
        <v>87.8</v>
      </c>
      <c r="J101" s="4">
        <v>0.5</v>
      </c>
      <c r="K101" s="4">
        <v>21.9</v>
      </c>
      <c r="L101" s="5">
        <v>10.5</v>
      </c>
      <c r="N101" t="s">
        <v>67</v>
      </c>
    </row>
    <row r="102" spans="1:14">
      <c r="A102" s="1">
        <v>101</v>
      </c>
      <c r="B102" s="2" t="s">
        <v>192</v>
      </c>
      <c r="C102" s="2" t="s">
        <v>13</v>
      </c>
      <c r="D102" t="s">
        <v>193</v>
      </c>
      <c r="F102" s="2">
        <v>2008</v>
      </c>
      <c r="G102" s="3">
        <v>43488</v>
      </c>
      <c r="H102" s="4">
        <v>7.6</v>
      </c>
      <c r="I102" s="4">
        <v>23.8</v>
      </c>
      <c r="J102" s="4">
        <v>0.03</v>
      </c>
      <c r="K102" s="4">
        <v>28.8</v>
      </c>
      <c r="L102" s="5">
        <v>10.5</v>
      </c>
      <c r="N102" t="s">
        <v>67</v>
      </c>
    </row>
    <row r="103" spans="1:14">
      <c r="A103" s="1">
        <v>102</v>
      </c>
      <c r="B103" s="2" t="s">
        <v>195</v>
      </c>
      <c r="C103" s="2" t="s">
        <v>12</v>
      </c>
      <c r="D103" s="10" t="s">
        <v>194</v>
      </c>
      <c r="F103" s="2">
        <v>2018</v>
      </c>
      <c r="G103" s="7">
        <v>43488</v>
      </c>
      <c r="H103" s="4">
        <v>104.2</v>
      </c>
      <c r="I103" s="4">
        <v>217.5</v>
      </c>
      <c r="J103" s="4">
        <v>31.3</v>
      </c>
      <c r="K103" s="4">
        <v>8.9600000000000009</v>
      </c>
      <c r="L103" s="5">
        <v>6.9</v>
      </c>
    </row>
    <row r="104" spans="1:14">
      <c r="A104" s="1">
        <v>103</v>
      </c>
      <c r="B104" s="2" t="s">
        <v>196</v>
      </c>
      <c r="C104" s="2" t="s">
        <v>12</v>
      </c>
      <c r="D104" s="10" t="s">
        <v>197</v>
      </c>
      <c r="F104" s="2">
        <v>2016</v>
      </c>
      <c r="G104" s="7">
        <v>43488</v>
      </c>
      <c r="H104" s="4">
        <v>80</v>
      </c>
      <c r="I104" s="4">
        <v>148.80000000000001</v>
      </c>
      <c r="J104" s="4">
        <v>6.7</v>
      </c>
      <c r="K104" s="4">
        <v>8.35</v>
      </c>
      <c r="L104" s="5">
        <v>4.4000000000000004</v>
      </c>
    </row>
    <row r="105" spans="1:14">
      <c r="A105" s="1">
        <v>104</v>
      </c>
      <c r="B105" s="2" t="s">
        <v>202</v>
      </c>
      <c r="C105" s="2" t="s">
        <v>12</v>
      </c>
      <c r="D105" t="s">
        <v>198</v>
      </c>
      <c r="F105" s="2">
        <v>2015</v>
      </c>
      <c r="G105" s="7">
        <v>43488</v>
      </c>
      <c r="H105" s="4">
        <v>80</v>
      </c>
      <c r="I105" s="4">
        <v>304</v>
      </c>
      <c r="J105" s="4">
        <v>3.4</v>
      </c>
      <c r="K105" s="4">
        <v>12.5</v>
      </c>
      <c r="L105" s="5">
        <v>2.06</v>
      </c>
    </row>
    <row r="106" spans="1:14">
      <c r="A106" s="1">
        <v>105</v>
      </c>
      <c r="B106" s="2" t="s">
        <v>199</v>
      </c>
      <c r="C106" s="2" t="s">
        <v>12</v>
      </c>
      <c r="D106" t="s">
        <v>200</v>
      </c>
      <c r="F106" s="2">
        <v>2017</v>
      </c>
      <c r="G106" s="7">
        <v>43488</v>
      </c>
      <c r="H106" s="4">
        <v>34.6</v>
      </c>
      <c r="I106" s="4">
        <v>95</v>
      </c>
      <c r="J106" s="4">
        <v>3.3</v>
      </c>
      <c r="K106" s="4">
        <v>6.8</v>
      </c>
      <c r="L106" s="5">
        <v>3.1</v>
      </c>
    </row>
    <row r="110" spans="1:14">
      <c r="J110" s="4"/>
    </row>
    <row r="111" spans="1:14">
      <c r="J111" s="4"/>
    </row>
    <row r="112" spans="1:14">
      <c r="J112" s="4"/>
    </row>
    <row r="113" spans="10:10">
      <c r="J113" s="4"/>
    </row>
    <row r="114" spans="10:10">
      <c r="J114" s="4"/>
    </row>
    <row r="115" spans="10:10">
      <c r="J115" s="4"/>
    </row>
  </sheetData>
  <autoFilter ref="A1:M106" xr:uid="{00000000-0009-0000-0000-000000000000}"/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108"/>
  <sheetViews>
    <sheetView topLeftCell="A88" workbookViewId="0">
      <selection activeCell="E97" sqref="E97"/>
    </sheetView>
  </sheetViews>
  <sheetFormatPr baseColWidth="10" defaultColWidth="8.83203125" defaultRowHeight="16"/>
  <cols>
    <col min="1" max="1" width="54.1640625" customWidth="1"/>
    <col min="2" max="2" width="65.1640625" customWidth="1"/>
  </cols>
  <sheetData>
    <row r="1" spans="1:2">
      <c r="A1" t="str">
        <f>IF(ISBLANK(Results!M2),CONCATENATE("https://maxim-saplin.github.io/cpdt_results/?selected=",Results!A2),"")</f>
        <v>https://maxim-saplin.github.io/cpdt_results/?selected=1</v>
      </c>
      <c r="B1" t="str">
        <f>IF(A1="","",CONCATENATE(A1,"&amp;lang=ru"))</f>
        <v>https://maxim-saplin.github.io/cpdt_results/?selected=1&amp;lang=ru</v>
      </c>
    </row>
    <row r="2" spans="1:2">
      <c r="A2" t="str">
        <f>IF(ISBLANK(Results!M3),CONCATENATE("https://maxim-saplin.github.io/cpdt_results/?selected=",Results!A3),"")</f>
        <v/>
      </c>
      <c r="B2" t="str">
        <f>IF(A2="","",CONCATENATE(A2,"&amp;lang=ru"))</f>
        <v/>
      </c>
    </row>
    <row r="3" spans="1:2">
      <c r="A3" t="str">
        <f>IF(ISBLANK(Results!M4),CONCATENATE("https://maxim-saplin.github.io/cpdt_results/?selected=",Results!A4),"")</f>
        <v>https://maxim-saplin.github.io/cpdt_results/?selected=3</v>
      </c>
      <c r="B3" t="str">
        <f t="shared" ref="B3:B66" si="0">IF(A3="","",CONCATENATE(A3,"&amp;lang=ru"))</f>
        <v>https://maxim-saplin.github.io/cpdt_results/?selected=3&amp;lang=ru</v>
      </c>
    </row>
    <row r="4" spans="1:2">
      <c r="A4" t="str">
        <f>IF(ISBLANK(Results!M5),CONCATENATE("https://maxim-saplin.github.io/cpdt_results/?selected=",Results!A5),"")</f>
        <v>https://maxim-saplin.github.io/cpdt_results/?selected=4</v>
      </c>
      <c r="B4" t="str">
        <f t="shared" si="0"/>
        <v>https://maxim-saplin.github.io/cpdt_results/?selected=4&amp;lang=ru</v>
      </c>
    </row>
    <row r="5" spans="1:2">
      <c r="A5" t="str">
        <f>IF(ISBLANK(Results!M6),CONCATENATE("https://maxim-saplin.github.io/cpdt_results/?selected=",Results!A6),"")</f>
        <v>https://maxim-saplin.github.io/cpdt_results/?selected=5</v>
      </c>
      <c r="B5" t="str">
        <f t="shared" si="0"/>
        <v>https://maxim-saplin.github.io/cpdt_results/?selected=5&amp;lang=ru</v>
      </c>
    </row>
    <row r="6" spans="1:2">
      <c r="A6" t="str">
        <f>IF(ISBLANK(Results!M7),CONCATENATE("https://maxim-saplin.github.io/cpdt_results/?selected=",Results!A7),"")</f>
        <v>https://maxim-saplin.github.io/cpdt_results/?selected=6</v>
      </c>
      <c r="B6" t="str">
        <f t="shared" si="0"/>
        <v>https://maxim-saplin.github.io/cpdt_results/?selected=6&amp;lang=ru</v>
      </c>
    </row>
    <row r="7" spans="1:2">
      <c r="A7" t="str">
        <f>IF(ISBLANK(Results!M8),CONCATENATE("https://maxim-saplin.github.io/cpdt_results/?selected=",Results!A8),"")</f>
        <v>https://maxim-saplin.github.io/cpdt_results/?selected=7</v>
      </c>
      <c r="B7" t="str">
        <f t="shared" si="0"/>
        <v>https://maxim-saplin.github.io/cpdt_results/?selected=7&amp;lang=ru</v>
      </c>
    </row>
    <row r="8" spans="1:2">
      <c r="A8" t="str">
        <f>IF(ISBLANK(Results!M9),CONCATENATE("https://maxim-saplin.github.io/cpdt_results/?selected=",Results!A9),"")</f>
        <v>https://maxim-saplin.github.io/cpdt_results/?selected=8</v>
      </c>
      <c r="B8" t="str">
        <f t="shared" si="0"/>
        <v>https://maxim-saplin.github.io/cpdt_results/?selected=8&amp;lang=ru</v>
      </c>
    </row>
    <row r="9" spans="1:2">
      <c r="A9" t="str">
        <f>IF(ISBLANK(Results!M10),CONCATENATE("https://maxim-saplin.github.io/cpdt_results/?selected=",Results!A10),"")</f>
        <v>https://maxim-saplin.github.io/cpdt_results/?selected=9</v>
      </c>
      <c r="B9" t="str">
        <f t="shared" si="0"/>
        <v>https://maxim-saplin.github.io/cpdt_results/?selected=9&amp;lang=ru</v>
      </c>
    </row>
    <row r="10" spans="1:2">
      <c r="A10" t="str">
        <f>IF(ISBLANK(Results!M11),CONCATENATE("https://maxim-saplin.github.io/cpdt_results/?selected=",Results!A11),"")</f>
        <v/>
      </c>
      <c r="B10" t="str">
        <f t="shared" si="0"/>
        <v/>
      </c>
    </row>
    <row r="11" spans="1:2">
      <c r="A11" t="str">
        <f>IF(ISBLANK(Results!M12),CONCATENATE("https://maxim-saplin.github.io/cpdt_results/?selected=",Results!A12),"")</f>
        <v>https://maxim-saplin.github.io/cpdt_results/?selected=11</v>
      </c>
      <c r="B11" t="str">
        <f t="shared" si="0"/>
        <v>https://maxim-saplin.github.io/cpdt_results/?selected=11&amp;lang=ru</v>
      </c>
    </row>
    <row r="12" spans="1:2">
      <c r="A12" t="str">
        <f>IF(ISBLANK(Results!M13),CONCATENATE("https://maxim-saplin.github.io/cpdt_results/?selected=",Results!A13),"")</f>
        <v>https://maxim-saplin.github.io/cpdt_results/?selected=12</v>
      </c>
      <c r="B12" t="str">
        <f t="shared" si="0"/>
        <v>https://maxim-saplin.github.io/cpdt_results/?selected=12&amp;lang=ru</v>
      </c>
    </row>
    <row r="13" spans="1:2">
      <c r="A13" t="str">
        <f>IF(ISBLANK(Results!M14),CONCATENATE("https://maxim-saplin.github.io/cpdt_results/?selected=",Results!A14),"")</f>
        <v>https://maxim-saplin.github.io/cpdt_results/?selected=13</v>
      </c>
      <c r="B13" t="str">
        <f t="shared" si="0"/>
        <v>https://maxim-saplin.github.io/cpdt_results/?selected=13&amp;lang=ru</v>
      </c>
    </row>
    <row r="14" spans="1:2">
      <c r="A14" t="str">
        <f>IF(ISBLANK(Results!M15),CONCATENATE("https://maxim-saplin.github.io/cpdt_results/?selected=",Results!A15),"")</f>
        <v>https://maxim-saplin.github.io/cpdt_results/?selected=14</v>
      </c>
      <c r="B14" t="str">
        <f t="shared" si="0"/>
        <v>https://maxim-saplin.github.io/cpdt_results/?selected=14&amp;lang=ru</v>
      </c>
    </row>
    <row r="15" spans="1:2">
      <c r="A15" t="str">
        <f>IF(ISBLANK(Results!M16),CONCATENATE("https://maxim-saplin.github.io/cpdt_results/?selected=",Results!A16),"")</f>
        <v>https://maxim-saplin.github.io/cpdt_results/?selected=15</v>
      </c>
      <c r="B15" t="str">
        <f t="shared" si="0"/>
        <v>https://maxim-saplin.github.io/cpdt_results/?selected=15&amp;lang=ru</v>
      </c>
    </row>
    <row r="16" spans="1:2">
      <c r="A16" t="str">
        <f>IF(ISBLANK(Results!M17),CONCATENATE("https://maxim-saplin.github.io/cpdt_results/?selected=",Results!A17),"")</f>
        <v>https://maxim-saplin.github.io/cpdt_results/?selected=16</v>
      </c>
      <c r="B16" t="str">
        <f t="shared" si="0"/>
        <v>https://maxim-saplin.github.io/cpdt_results/?selected=16&amp;lang=ru</v>
      </c>
    </row>
    <row r="17" spans="1:2">
      <c r="A17" t="str">
        <f>IF(ISBLANK(Results!M18),CONCATENATE("https://maxim-saplin.github.io/cpdt_results/?selected=",Results!A18),"")</f>
        <v>https://maxim-saplin.github.io/cpdt_results/?selected=17</v>
      </c>
      <c r="B17" t="str">
        <f t="shared" si="0"/>
        <v>https://maxim-saplin.github.io/cpdt_results/?selected=17&amp;lang=ru</v>
      </c>
    </row>
    <row r="18" spans="1:2">
      <c r="A18" t="str">
        <f>IF(ISBLANK(Results!M19),CONCATENATE("https://maxim-saplin.github.io/cpdt_results/?selected=",Results!A19),"")</f>
        <v>https://maxim-saplin.github.io/cpdt_results/?selected=18</v>
      </c>
      <c r="B18" t="str">
        <f t="shared" si="0"/>
        <v>https://maxim-saplin.github.io/cpdt_results/?selected=18&amp;lang=ru</v>
      </c>
    </row>
    <row r="19" spans="1:2">
      <c r="A19" t="str">
        <f>IF(ISBLANK(Results!M20),CONCATENATE("https://maxim-saplin.github.io/cpdt_results/?selected=",Results!A20),"")</f>
        <v>https://maxim-saplin.github.io/cpdt_results/?selected=19</v>
      </c>
      <c r="B19" t="str">
        <f t="shared" si="0"/>
        <v>https://maxim-saplin.github.io/cpdt_results/?selected=19&amp;lang=ru</v>
      </c>
    </row>
    <row r="20" spans="1:2">
      <c r="A20" t="str">
        <f>IF(ISBLANK(Results!M21),CONCATENATE("https://maxim-saplin.github.io/cpdt_results/?selected=",Results!A21),"")</f>
        <v>https://maxim-saplin.github.io/cpdt_results/?selected=20</v>
      </c>
      <c r="B20" t="str">
        <f t="shared" si="0"/>
        <v>https://maxim-saplin.github.io/cpdt_results/?selected=20&amp;lang=ru</v>
      </c>
    </row>
    <row r="21" spans="1:2">
      <c r="A21" t="str">
        <f>IF(ISBLANK(Results!M22),CONCATENATE("https://maxim-saplin.github.io/cpdt_results/?selected=",Results!A22),"")</f>
        <v>https://maxim-saplin.github.io/cpdt_results/?selected=21</v>
      </c>
      <c r="B21" t="str">
        <f t="shared" si="0"/>
        <v>https://maxim-saplin.github.io/cpdt_results/?selected=21&amp;lang=ru</v>
      </c>
    </row>
    <row r="22" spans="1:2">
      <c r="A22" t="str">
        <f>IF(ISBLANK(Results!M23),CONCATENATE("https://maxim-saplin.github.io/cpdt_results/?selected=",Results!A23),"")</f>
        <v/>
      </c>
      <c r="B22" t="str">
        <f t="shared" si="0"/>
        <v/>
      </c>
    </row>
    <row r="23" spans="1:2">
      <c r="A23" t="str">
        <f>IF(ISBLANK(Results!M24),CONCATENATE("https://maxim-saplin.github.io/cpdt_results/?selected=",Results!A24),"")</f>
        <v>https://maxim-saplin.github.io/cpdt_results/?selected=23</v>
      </c>
      <c r="B23" t="str">
        <f t="shared" si="0"/>
        <v>https://maxim-saplin.github.io/cpdt_results/?selected=23&amp;lang=ru</v>
      </c>
    </row>
    <row r="24" spans="1:2">
      <c r="A24" t="str">
        <f>IF(ISBLANK(Results!M25),CONCATENATE("https://maxim-saplin.github.io/cpdt_results/?selected=",Results!A25),"")</f>
        <v>https://maxim-saplin.github.io/cpdt_results/?selected=24</v>
      </c>
      <c r="B24" t="str">
        <f t="shared" si="0"/>
        <v>https://maxim-saplin.github.io/cpdt_results/?selected=24&amp;lang=ru</v>
      </c>
    </row>
    <row r="25" spans="1:2">
      <c r="A25" t="str">
        <f>IF(ISBLANK(Results!M26),CONCATENATE("https://maxim-saplin.github.io/cpdt_results/?selected=",Results!A26),"")</f>
        <v>https://maxim-saplin.github.io/cpdt_results/?selected=25</v>
      </c>
      <c r="B25" t="str">
        <f t="shared" si="0"/>
        <v>https://maxim-saplin.github.io/cpdt_results/?selected=25&amp;lang=ru</v>
      </c>
    </row>
    <row r="26" spans="1:2">
      <c r="A26" t="str">
        <f>IF(ISBLANK(Results!M27),CONCATENATE("https://maxim-saplin.github.io/cpdt_results/?selected=",Results!A27),"")</f>
        <v>https://maxim-saplin.github.io/cpdt_results/?selected=26</v>
      </c>
      <c r="B26" t="str">
        <f t="shared" si="0"/>
        <v>https://maxim-saplin.github.io/cpdt_results/?selected=26&amp;lang=ru</v>
      </c>
    </row>
    <row r="27" spans="1:2">
      <c r="A27" t="str">
        <f>IF(ISBLANK(Results!M28),CONCATENATE("https://maxim-saplin.github.io/cpdt_results/?selected=",Results!A28),"")</f>
        <v>https://maxim-saplin.github.io/cpdt_results/?selected=27</v>
      </c>
      <c r="B27" t="str">
        <f t="shared" si="0"/>
        <v>https://maxim-saplin.github.io/cpdt_results/?selected=27&amp;lang=ru</v>
      </c>
    </row>
    <row r="28" spans="1:2">
      <c r="A28" t="str">
        <f>IF(ISBLANK(Results!M29),CONCATENATE("https://maxim-saplin.github.io/cpdt_results/?selected=",Results!A29),"")</f>
        <v>https://maxim-saplin.github.io/cpdt_results/?selected=28</v>
      </c>
      <c r="B28" t="str">
        <f t="shared" si="0"/>
        <v>https://maxim-saplin.github.io/cpdt_results/?selected=28&amp;lang=ru</v>
      </c>
    </row>
    <row r="29" spans="1:2">
      <c r="A29" t="str">
        <f>IF(ISBLANK(Results!M30),CONCATENATE("https://maxim-saplin.github.io/cpdt_results/?selected=",Results!A30),"")</f>
        <v>https://maxim-saplin.github.io/cpdt_results/?selected=29</v>
      </c>
      <c r="B29" t="str">
        <f t="shared" si="0"/>
        <v>https://maxim-saplin.github.io/cpdt_results/?selected=29&amp;lang=ru</v>
      </c>
    </row>
    <row r="30" spans="1:2">
      <c r="A30" t="str">
        <f>IF(ISBLANK(Results!M31),CONCATENATE("https://maxim-saplin.github.io/cpdt_results/?selected=",Results!A31),"")</f>
        <v>https://maxim-saplin.github.io/cpdt_results/?selected=30</v>
      </c>
      <c r="B30" t="str">
        <f t="shared" si="0"/>
        <v>https://maxim-saplin.github.io/cpdt_results/?selected=30&amp;lang=ru</v>
      </c>
    </row>
    <row r="31" spans="1:2">
      <c r="A31" t="str">
        <f>IF(ISBLANK(Results!M32),CONCATENATE("https://maxim-saplin.github.io/cpdt_results/?selected=",Results!A32),"")</f>
        <v>https://maxim-saplin.github.io/cpdt_results/?selected=31</v>
      </c>
      <c r="B31" t="str">
        <f t="shared" si="0"/>
        <v>https://maxim-saplin.github.io/cpdt_results/?selected=31&amp;lang=ru</v>
      </c>
    </row>
    <row r="32" spans="1:2">
      <c r="A32" t="str">
        <f>IF(ISBLANK(Results!M33),CONCATENATE("https://maxim-saplin.github.io/cpdt_results/?selected=",Results!A33),"")</f>
        <v>https://maxim-saplin.github.io/cpdt_results/?selected=32</v>
      </c>
      <c r="B32" t="str">
        <f t="shared" si="0"/>
        <v>https://maxim-saplin.github.io/cpdt_results/?selected=32&amp;lang=ru</v>
      </c>
    </row>
    <row r="33" spans="1:2">
      <c r="A33" t="str">
        <f>IF(ISBLANK(Results!M34),CONCATENATE("https://maxim-saplin.github.io/cpdt_results/?selected=",Results!A34),"")</f>
        <v>https://maxim-saplin.github.io/cpdt_results/?selected=33</v>
      </c>
      <c r="B33" t="str">
        <f t="shared" si="0"/>
        <v>https://maxim-saplin.github.io/cpdt_results/?selected=33&amp;lang=ru</v>
      </c>
    </row>
    <row r="34" spans="1:2">
      <c r="A34" t="str">
        <f>IF(ISBLANK(Results!M35),CONCATENATE("https://maxim-saplin.github.io/cpdt_results/?selected=",Results!A35),"")</f>
        <v>https://maxim-saplin.github.io/cpdt_results/?selected=34</v>
      </c>
      <c r="B34" t="str">
        <f t="shared" si="0"/>
        <v>https://maxim-saplin.github.io/cpdt_results/?selected=34&amp;lang=ru</v>
      </c>
    </row>
    <row r="35" spans="1:2">
      <c r="A35" t="str">
        <f>IF(ISBLANK(Results!M36),CONCATENATE("https://maxim-saplin.github.io/cpdt_results/?selected=",Results!A36),"")</f>
        <v>https://maxim-saplin.github.io/cpdt_results/?selected=35</v>
      </c>
      <c r="B35" t="str">
        <f t="shared" si="0"/>
        <v>https://maxim-saplin.github.io/cpdt_results/?selected=35&amp;lang=ru</v>
      </c>
    </row>
    <row r="36" spans="1:2">
      <c r="A36" t="str">
        <f>IF(ISBLANK(Results!M37),CONCATENATE("https://maxim-saplin.github.io/cpdt_results/?selected=",Results!A37),"")</f>
        <v>https://maxim-saplin.github.io/cpdt_results/?selected=36</v>
      </c>
      <c r="B36" t="str">
        <f t="shared" si="0"/>
        <v>https://maxim-saplin.github.io/cpdt_results/?selected=36&amp;lang=ru</v>
      </c>
    </row>
    <row r="37" spans="1:2">
      <c r="A37" t="str">
        <f>IF(ISBLANK(Results!M38),CONCATENATE("https://maxim-saplin.github.io/cpdt_results/?selected=",Results!A38),"")</f>
        <v>https://maxim-saplin.github.io/cpdt_results/?selected=37</v>
      </c>
      <c r="B37" t="str">
        <f t="shared" si="0"/>
        <v>https://maxim-saplin.github.io/cpdt_results/?selected=37&amp;lang=ru</v>
      </c>
    </row>
    <row r="38" spans="1:2">
      <c r="A38" t="str">
        <f>IF(ISBLANK(Results!M39),CONCATENATE("https://maxim-saplin.github.io/cpdt_results/?selected=",Results!A39),"")</f>
        <v>https://maxim-saplin.github.io/cpdt_results/?selected=38</v>
      </c>
      <c r="B38" t="str">
        <f t="shared" si="0"/>
        <v>https://maxim-saplin.github.io/cpdt_results/?selected=38&amp;lang=ru</v>
      </c>
    </row>
    <row r="39" spans="1:2">
      <c r="A39" t="str">
        <f>IF(ISBLANK(Results!M40),CONCATENATE("https://maxim-saplin.github.io/cpdt_results/?selected=",Results!A40),"")</f>
        <v>https://maxim-saplin.github.io/cpdt_results/?selected=39</v>
      </c>
      <c r="B39" t="str">
        <f t="shared" si="0"/>
        <v>https://maxim-saplin.github.io/cpdt_results/?selected=39&amp;lang=ru</v>
      </c>
    </row>
    <row r="40" spans="1:2">
      <c r="A40" t="str">
        <f>IF(ISBLANK(Results!M41),CONCATENATE("https://maxim-saplin.github.io/cpdt_results/?selected=",Results!A41),"")</f>
        <v>https://maxim-saplin.github.io/cpdt_results/?selected=40</v>
      </c>
      <c r="B40" t="str">
        <f t="shared" si="0"/>
        <v>https://maxim-saplin.github.io/cpdt_results/?selected=40&amp;lang=ru</v>
      </c>
    </row>
    <row r="41" spans="1:2">
      <c r="A41" t="str">
        <f>IF(ISBLANK(Results!M42),CONCATENATE("https://maxim-saplin.github.io/cpdt_results/?selected=",Results!A42),"")</f>
        <v>https://maxim-saplin.github.io/cpdt_results/?selected=41</v>
      </c>
      <c r="B41" t="str">
        <f t="shared" si="0"/>
        <v>https://maxim-saplin.github.io/cpdt_results/?selected=41&amp;lang=ru</v>
      </c>
    </row>
    <row r="42" spans="1:2">
      <c r="A42" t="str">
        <f>IF(ISBLANK(Results!M43),CONCATENATE("https://maxim-saplin.github.io/cpdt_results/?selected=",Results!A43),"")</f>
        <v>https://maxim-saplin.github.io/cpdt_results/?selected=42</v>
      </c>
      <c r="B42" t="str">
        <f t="shared" si="0"/>
        <v>https://maxim-saplin.github.io/cpdt_results/?selected=42&amp;lang=ru</v>
      </c>
    </row>
    <row r="43" spans="1:2">
      <c r="A43" t="str">
        <f>IF(ISBLANK(Results!M44),CONCATENATE("https://maxim-saplin.github.io/cpdt_results/?selected=",Results!A44),"")</f>
        <v>https://maxim-saplin.github.io/cpdt_results/?selected=43</v>
      </c>
      <c r="B43" t="str">
        <f t="shared" si="0"/>
        <v>https://maxim-saplin.github.io/cpdt_results/?selected=43&amp;lang=ru</v>
      </c>
    </row>
    <row r="44" spans="1:2">
      <c r="A44" t="str">
        <f>IF(ISBLANK(Results!M45),CONCATENATE("https://maxim-saplin.github.io/cpdt_results/?selected=",Results!A45),"")</f>
        <v>https://maxim-saplin.github.io/cpdt_results/?selected=44</v>
      </c>
      <c r="B44" t="str">
        <f t="shared" si="0"/>
        <v>https://maxim-saplin.github.io/cpdt_results/?selected=44&amp;lang=ru</v>
      </c>
    </row>
    <row r="45" spans="1:2">
      <c r="A45" t="str">
        <f>IF(ISBLANK(Results!M46),CONCATENATE("https://maxim-saplin.github.io/cpdt_results/?selected=",Results!A46),"")</f>
        <v>https://maxim-saplin.github.io/cpdt_results/?selected=45</v>
      </c>
      <c r="B45" t="str">
        <f t="shared" si="0"/>
        <v>https://maxim-saplin.github.io/cpdt_results/?selected=45&amp;lang=ru</v>
      </c>
    </row>
    <row r="46" spans="1:2">
      <c r="A46" t="str">
        <f>IF(ISBLANK(Results!M47),CONCATENATE("https://maxim-saplin.github.io/cpdt_results/?selected=",Results!A47),"")</f>
        <v>https://maxim-saplin.github.io/cpdt_results/?selected=46</v>
      </c>
      <c r="B46" t="str">
        <f t="shared" si="0"/>
        <v>https://maxim-saplin.github.io/cpdt_results/?selected=46&amp;lang=ru</v>
      </c>
    </row>
    <row r="47" spans="1:2">
      <c r="A47" t="str">
        <f>IF(ISBLANK(Results!M48),CONCATENATE("https://maxim-saplin.github.io/cpdt_results/?selected=",Results!A48),"")</f>
        <v>https://maxim-saplin.github.io/cpdt_results/?selected=47</v>
      </c>
      <c r="B47" t="str">
        <f t="shared" si="0"/>
        <v>https://maxim-saplin.github.io/cpdt_results/?selected=47&amp;lang=ru</v>
      </c>
    </row>
    <row r="48" spans="1:2">
      <c r="A48" t="str">
        <f>IF(ISBLANK(Results!M49),CONCATENATE("https://maxim-saplin.github.io/cpdt_results/?selected=",Results!A49),"")</f>
        <v>https://maxim-saplin.github.io/cpdt_results/?selected=48</v>
      </c>
      <c r="B48" t="str">
        <f t="shared" si="0"/>
        <v>https://maxim-saplin.github.io/cpdt_results/?selected=48&amp;lang=ru</v>
      </c>
    </row>
    <row r="49" spans="1:2">
      <c r="A49" t="str">
        <f>IF(ISBLANK(Results!M50),CONCATENATE("https://maxim-saplin.github.io/cpdt_results/?selected=",Results!A50),"")</f>
        <v>https://maxim-saplin.github.io/cpdt_results/?selected=49</v>
      </c>
      <c r="B49" t="str">
        <f t="shared" si="0"/>
        <v>https://maxim-saplin.github.io/cpdt_results/?selected=49&amp;lang=ru</v>
      </c>
    </row>
    <row r="50" spans="1:2">
      <c r="A50" t="str">
        <f>IF(ISBLANK(Results!M51),CONCATENATE("https://maxim-saplin.github.io/cpdt_results/?selected=",Results!A51),"")</f>
        <v>https://maxim-saplin.github.io/cpdt_results/?selected=50</v>
      </c>
      <c r="B50" t="str">
        <f t="shared" si="0"/>
        <v>https://maxim-saplin.github.io/cpdt_results/?selected=50&amp;lang=ru</v>
      </c>
    </row>
    <row r="51" spans="1:2">
      <c r="A51" t="str">
        <f>IF(ISBLANK(Results!M52),CONCATENATE("https://maxim-saplin.github.io/cpdt_results/?selected=",Results!A52),"")</f>
        <v>https://maxim-saplin.github.io/cpdt_results/?selected=51</v>
      </c>
      <c r="B51" t="str">
        <f t="shared" si="0"/>
        <v>https://maxim-saplin.github.io/cpdt_results/?selected=51&amp;lang=ru</v>
      </c>
    </row>
    <row r="52" spans="1:2">
      <c r="A52" t="str">
        <f>IF(ISBLANK(Results!M53),CONCATENATE("https://maxim-saplin.github.io/cpdt_results/?selected=",Results!A53),"")</f>
        <v>https://maxim-saplin.github.io/cpdt_results/?selected=52</v>
      </c>
      <c r="B52" t="str">
        <f t="shared" si="0"/>
        <v>https://maxim-saplin.github.io/cpdt_results/?selected=52&amp;lang=ru</v>
      </c>
    </row>
    <row r="53" spans="1:2">
      <c r="A53" t="str">
        <f>IF(ISBLANK(Results!M54),CONCATENATE("https://maxim-saplin.github.io/cpdt_results/?selected=",Results!A54),"")</f>
        <v>https://maxim-saplin.github.io/cpdt_results/?selected=53</v>
      </c>
      <c r="B53" t="str">
        <f t="shared" si="0"/>
        <v>https://maxim-saplin.github.io/cpdt_results/?selected=53&amp;lang=ru</v>
      </c>
    </row>
    <row r="54" spans="1:2">
      <c r="A54" t="str">
        <f>IF(ISBLANK(Results!M55),CONCATENATE("https://maxim-saplin.github.io/cpdt_results/?selected=",Results!A55),"")</f>
        <v>https://maxim-saplin.github.io/cpdt_results/?selected=54</v>
      </c>
      <c r="B54" t="str">
        <f t="shared" si="0"/>
        <v>https://maxim-saplin.github.io/cpdt_results/?selected=54&amp;lang=ru</v>
      </c>
    </row>
    <row r="55" spans="1:2">
      <c r="A55" t="str">
        <f>IF(ISBLANK(Results!M56),CONCATENATE("https://maxim-saplin.github.io/cpdt_results/?selected=",Results!A56),"")</f>
        <v>https://maxim-saplin.github.io/cpdt_results/?selected=55</v>
      </c>
      <c r="B55" t="str">
        <f t="shared" si="0"/>
        <v>https://maxim-saplin.github.io/cpdt_results/?selected=55&amp;lang=ru</v>
      </c>
    </row>
    <row r="56" spans="1:2">
      <c r="A56" t="str">
        <f>IF(ISBLANK(Results!M57),CONCATENATE("https://maxim-saplin.github.io/cpdt_results/?selected=",Results!A57),"")</f>
        <v>https://maxim-saplin.github.io/cpdt_results/?selected=56</v>
      </c>
      <c r="B56" t="str">
        <f t="shared" si="0"/>
        <v>https://maxim-saplin.github.io/cpdt_results/?selected=56&amp;lang=ru</v>
      </c>
    </row>
    <row r="57" spans="1:2">
      <c r="A57" t="str">
        <f>IF(ISBLANK(Results!M58),CONCATENATE("https://maxim-saplin.github.io/cpdt_results/?selected=",Results!A58),"")</f>
        <v>https://maxim-saplin.github.io/cpdt_results/?selected=57</v>
      </c>
      <c r="B57" t="str">
        <f t="shared" si="0"/>
        <v>https://maxim-saplin.github.io/cpdt_results/?selected=57&amp;lang=ru</v>
      </c>
    </row>
    <row r="58" spans="1:2">
      <c r="A58" t="str">
        <f>IF(ISBLANK(Results!M59),CONCATENATE("https://maxim-saplin.github.io/cpdt_results/?selected=",Results!A59),"")</f>
        <v>https://maxim-saplin.github.io/cpdt_results/?selected=58</v>
      </c>
      <c r="B58" t="str">
        <f t="shared" si="0"/>
        <v>https://maxim-saplin.github.io/cpdt_results/?selected=58&amp;lang=ru</v>
      </c>
    </row>
    <row r="59" spans="1:2">
      <c r="A59" t="str">
        <f>IF(ISBLANK(Results!M60),CONCATENATE("https://maxim-saplin.github.io/cpdt_results/?selected=",Results!A60),"")</f>
        <v>https://maxim-saplin.github.io/cpdt_results/?selected=59</v>
      </c>
      <c r="B59" t="str">
        <f t="shared" si="0"/>
        <v>https://maxim-saplin.github.io/cpdt_results/?selected=59&amp;lang=ru</v>
      </c>
    </row>
    <row r="60" spans="1:2">
      <c r="A60" t="str">
        <f>IF(ISBLANK(Results!M61),CONCATENATE("https://maxim-saplin.github.io/cpdt_results/?selected=",Results!A61),"")</f>
        <v>https://maxim-saplin.github.io/cpdt_results/?selected=60</v>
      </c>
      <c r="B60" t="str">
        <f t="shared" si="0"/>
        <v>https://maxim-saplin.github.io/cpdt_results/?selected=60&amp;lang=ru</v>
      </c>
    </row>
    <row r="61" spans="1:2">
      <c r="A61" t="str">
        <f>IF(ISBLANK(Results!M62),CONCATENATE("https://maxim-saplin.github.io/cpdt_results/?selected=",Results!A62),"")</f>
        <v>https://maxim-saplin.github.io/cpdt_results/?selected=61</v>
      </c>
      <c r="B61" t="str">
        <f t="shared" si="0"/>
        <v>https://maxim-saplin.github.io/cpdt_results/?selected=61&amp;lang=ru</v>
      </c>
    </row>
    <row r="62" spans="1:2">
      <c r="A62" t="str">
        <f>IF(ISBLANK(Results!M63),CONCATENATE("https://maxim-saplin.github.io/cpdt_results/?selected=",Results!A63),"")</f>
        <v>https://maxim-saplin.github.io/cpdt_results/?selected=62</v>
      </c>
      <c r="B62" t="str">
        <f t="shared" si="0"/>
        <v>https://maxim-saplin.github.io/cpdt_results/?selected=62&amp;lang=ru</v>
      </c>
    </row>
    <row r="63" spans="1:2">
      <c r="A63" t="str">
        <f>IF(ISBLANK(Results!M64),CONCATENATE("https://maxim-saplin.github.io/cpdt_results/?selected=",Results!A64),"")</f>
        <v>https://maxim-saplin.github.io/cpdt_results/?selected=63</v>
      </c>
      <c r="B63" t="str">
        <f t="shared" si="0"/>
        <v>https://maxim-saplin.github.io/cpdt_results/?selected=63&amp;lang=ru</v>
      </c>
    </row>
    <row r="64" spans="1:2">
      <c r="A64" t="str">
        <f>IF(ISBLANK(Results!M65),CONCATENATE("https://maxim-saplin.github.io/cpdt_results/?selected=",Results!A65),"")</f>
        <v>https://maxim-saplin.github.io/cpdt_results/?selected=64</v>
      </c>
      <c r="B64" t="str">
        <f t="shared" si="0"/>
        <v>https://maxim-saplin.github.io/cpdt_results/?selected=64&amp;lang=ru</v>
      </c>
    </row>
    <row r="65" spans="1:2">
      <c r="A65" t="str">
        <f>IF(ISBLANK(Results!M66),CONCATENATE("https://maxim-saplin.github.io/cpdt_results/?selected=",Results!A66),"")</f>
        <v>https://maxim-saplin.github.io/cpdt_results/?selected=65</v>
      </c>
      <c r="B65" t="str">
        <f t="shared" si="0"/>
        <v>https://maxim-saplin.github.io/cpdt_results/?selected=65&amp;lang=ru</v>
      </c>
    </row>
    <row r="66" spans="1:2">
      <c r="A66" t="str">
        <f>IF(ISBLANK(Results!M67),CONCATENATE("https://maxim-saplin.github.io/cpdt_results/?selected=",Results!A67),"")</f>
        <v>https://maxim-saplin.github.io/cpdt_results/?selected=66</v>
      </c>
      <c r="B66" t="str">
        <f t="shared" si="0"/>
        <v>https://maxim-saplin.github.io/cpdt_results/?selected=66&amp;lang=ru</v>
      </c>
    </row>
    <row r="67" spans="1:2">
      <c r="A67" t="str">
        <f>IF(ISBLANK(Results!M68),CONCATENATE("https://maxim-saplin.github.io/cpdt_results/?selected=",Results!A68),"")</f>
        <v>https://maxim-saplin.github.io/cpdt_results/?selected=67</v>
      </c>
      <c r="B67" t="str">
        <f t="shared" ref="B67:B95" si="1">IF(A67="","",CONCATENATE(A67,"&amp;lang=ru"))</f>
        <v>https://maxim-saplin.github.io/cpdt_results/?selected=67&amp;lang=ru</v>
      </c>
    </row>
    <row r="68" spans="1:2">
      <c r="A68" t="str">
        <f>IF(ISBLANK(Results!M69),CONCATENATE("https://maxim-saplin.github.io/cpdt_results/?selected=",Results!A69),"")</f>
        <v>https://maxim-saplin.github.io/cpdt_results/?selected=68</v>
      </c>
      <c r="B68" t="str">
        <f t="shared" si="1"/>
        <v>https://maxim-saplin.github.io/cpdt_results/?selected=68&amp;lang=ru</v>
      </c>
    </row>
    <row r="69" spans="1:2">
      <c r="A69" t="str">
        <f>IF(ISBLANK(Results!M70),CONCATENATE("https://maxim-saplin.github.io/cpdt_results/?selected=",Results!A70),"")</f>
        <v>https://maxim-saplin.github.io/cpdt_results/?selected=69</v>
      </c>
      <c r="B69" t="str">
        <f t="shared" si="1"/>
        <v>https://maxim-saplin.github.io/cpdt_results/?selected=69&amp;lang=ru</v>
      </c>
    </row>
    <row r="70" spans="1:2">
      <c r="A70" t="str">
        <f>IF(ISBLANK(Results!M71),CONCATENATE("https://maxim-saplin.github.io/cpdt_results/?selected=",Results!A71),"")</f>
        <v>https://maxim-saplin.github.io/cpdt_results/?selected=70</v>
      </c>
      <c r="B70" t="str">
        <f t="shared" si="1"/>
        <v>https://maxim-saplin.github.io/cpdt_results/?selected=70&amp;lang=ru</v>
      </c>
    </row>
    <row r="71" spans="1:2">
      <c r="A71" t="str">
        <f>IF(ISBLANK(Results!M72),CONCATENATE("https://maxim-saplin.github.io/cpdt_results/?selected=",Results!A72),"")</f>
        <v>https://maxim-saplin.github.io/cpdt_results/?selected=71</v>
      </c>
      <c r="B71" t="str">
        <f t="shared" si="1"/>
        <v>https://maxim-saplin.github.io/cpdt_results/?selected=71&amp;lang=ru</v>
      </c>
    </row>
    <row r="72" spans="1:2">
      <c r="A72" t="str">
        <f>IF(ISBLANK(Results!M73),CONCATENATE("https://maxim-saplin.github.io/cpdt_results/?selected=",Results!A73),"")</f>
        <v>https://maxim-saplin.github.io/cpdt_results/?selected=72</v>
      </c>
      <c r="B72" t="str">
        <f t="shared" si="1"/>
        <v>https://maxim-saplin.github.io/cpdt_results/?selected=72&amp;lang=ru</v>
      </c>
    </row>
    <row r="73" spans="1:2">
      <c r="A73" t="str">
        <f>IF(ISBLANK(Results!M74),CONCATENATE("https://maxim-saplin.github.io/cpdt_results/?selected=",Results!A74),"")</f>
        <v>https://maxim-saplin.github.io/cpdt_results/?selected=73</v>
      </c>
      <c r="B73" t="str">
        <f t="shared" si="1"/>
        <v>https://maxim-saplin.github.io/cpdt_results/?selected=73&amp;lang=ru</v>
      </c>
    </row>
    <row r="74" spans="1:2">
      <c r="A74" t="str">
        <f>IF(ISBLANK(Results!M75),CONCATENATE("https://maxim-saplin.github.io/cpdt_results/?selected=",Results!A75),"")</f>
        <v>https://maxim-saplin.github.io/cpdt_results/?selected=74</v>
      </c>
      <c r="B74" t="str">
        <f t="shared" si="1"/>
        <v>https://maxim-saplin.github.io/cpdt_results/?selected=74&amp;lang=ru</v>
      </c>
    </row>
    <row r="75" spans="1:2">
      <c r="A75" t="str">
        <f>IF(ISBLANK(Results!M76),CONCATENATE("https://maxim-saplin.github.io/cpdt_results/?selected=",Results!A76),"")</f>
        <v>https://maxim-saplin.github.io/cpdt_results/?selected=75</v>
      </c>
      <c r="B75" t="str">
        <f t="shared" si="1"/>
        <v>https://maxim-saplin.github.io/cpdt_results/?selected=75&amp;lang=ru</v>
      </c>
    </row>
    <row r="76" spans="1:2">
      <c r="A76" t="str">
        <f>IF(ISBLANK(Results!M77),CONCATENATE("https://maxim-saplin.github.io/cpdt_results/?selected=",Results!A77),"")</f>
        <v>https://maxim-saplin.github.io/cpdt_results/?selected=76</v>
      </c>
      <c r="B76" t="str">
        <f t="shared" si="1"/>
        <v>https://maxim-saplin.github.io/cpdt_results/?selected=76&amp;lang=ru</v>
      </c>
    </row>
    <row r="77" spans="1:2">
      <c r="A77" t="str">
        <f>IF(ISBLANK(Results!M78),CONCATENATE("https://maxim-saplin.github.io/cpdt_results/?selected=",Results!A78),"")</f>
        <v>https://maxim-saplin.github.io/cpdt_results/?selected=77</v>
      </c>
      <c r="B77" t="str">
        <f t="shared" si="1"/>
        <v>https://maxim-saplin.github.io/cpdt_results/?selected=77&amp;lang=ru</v>
      </c>
    </row>
    <row r="78" spans="1:2">
      <c r="A78" t="str">
        <f>IF(ISBLANK(Results!M79),CONCATENATE("https://maxim-saplin.github.io/cpdt_results/?selected=",Results!A79),"")</f>
        <v>https://maxim-saplin.github.io/cpdt_results/?selected=78</v>
      </c>
      <c r="B78" t="str">
        <f t="shared" si="1"/>
        <v>https://maxim-saplin.github.io/cpdt_results/?selected=78&amp;lang=ru</v>
      </c>
    </row>
    <row r="79" spans="1:2">
      <c r="A79" t="str">
        <f>IF(ISBLANK(Results!M80),CONCATENATE("https://maxim-saplin.github.io/cpdt_results/?selected=",Results!A80),"")</f>
        <v>https://maxim-saplin.github.io/cpdt_results/?selected=79</v>
      </c>
      <c r="B79" t="str">
        <f t="shared" si="1"/>
        <v>https://maxim-saplin.github.io/cpdt_results/?selected=79&amp;lang=ru</v>
      </c>
    </row>
    <row r="80" spans="1:2">
      <c r="A80" t="str">
        <f>IF(ISBLANK(Results!M81),CONCATENATE("https://maxim-saplin.github.io/cpdt_results/?selected=",Results!A81),"")</f>
        <v>https://maxim-saplin.github.io/cpdt_results/?selected=80</v>
      </c>
      <c r="B80" t="str">
        <f t="shared" si="1"/>
        <v>https://maxim-saplin.github.io/cpdt_results/?selected=80&amp;lang=ru</v>
      </c>
    </row>
    <row r="81" spans="1:2">
      <c r="A81" t="str">
        <f>IF(ISBLANK(Results!M82),CONCATENATE("https://maxim-saplin.github.io/cpdt_results/?selected=",Results!A82),"")</f>
        <v>https://maxim-saplin.github.io/cpdt_results/?selected=81</v>
      </c>
      <c r="B81" t="str">
        <f t="shared" si="1"/>
        <v>https://maxim-saplin.github.io/cpdt_results/?selected=81&amp;lang=ru</v>
      </c>
    </row>
    <row r="82" spans="1:2">
      <c r="A82" t="str">
        <f>IF(ISBLANK(Results!M83),CONCATENATE("https://maxim-saplin.github.io/cpdt_results/?selected=",Results!A83),"")</f>
        <v>https://maxim-saplin.github.io/cpdt_results/?selected=82</v>
      </c>
      <c r="B82" t="str">
        <f t="shared" si="1"/>
        <v>https://maxim-saplin.github.io/cpdt_results/?selected=82&amp;lang=ru</v>
      </c>
    </row>
    <row r="83" spans="1:2">
      <c r="A83" t="str">
        <f>IF(ISBLANK(Results!M84),CONCATENATE("https://maxim-saplin.github.io/cpdt_results/?selected=",Results!A84),"")</f>
        <v>https://maxim-saplin.github.io/cpdt_results/?selected=83</v>
      </c>
      <c r="B83" t="str">
        <f t="shared" si="1"/>
        <v>https://maxim-saplin.github.io/cpdt_results/?selected=83&amp;lang=ru</v>
      </c>
    </row>
    <row r="84" spans="1:2">
      <c r="A84" t="str">
        <f>IF(ISBLANK(Results!M85),CONCATENATE("https://maxim-saplin.github.io/cpdt_results/?selected=",Results!A85),"")</f>
        <v>https://maxim-saplin.github.io/cpdt_results/?selected=84</v>
      </c>
      <c r="B84" t="str">
        <f t="shared" si="1"/>
        <v>https://maxim-saplin.github.io/cpdt_results/?selected=84&amp;lang=ru</v>
      </c>
    </row>
    <row r="85" spans="1:2">
      <c r="A85" t="str">
        <f>IF(ISBLANK(Results!M86),CONCATENATE("https://maxim-saplin.github.io/cpdt_results/?selected=",Results!A86),"")</f>
        <v>https://maxim-saplin.github.io/cpdt_results/?selected=85</v>
      </c>
      <c r="B85" t="str">
        <f t="shared" si="1"/>
        <v>https://maxim-saplin.github.io/cpdt_results/?selected=85&amp;lang=ru</v>
      </c>
    </row>
    <row r="86" spans="1:2">
      <c r="A86" t="str">
        <f>IF(ISBLANK(Results!M87),CONCATENATE("https://maxim-saplin.github.io/cpdt_results/?selected=",Results!A87),"")</f>
        <v>https://maxim-saplin.github.io/cpdt_results/?selected=86</v>
      </c>
      <c r="B86" t="str">
        <f t="shared" si="1"/>
        <v>https://maxim-saplin.github.io/cpdt_results/?selected=86&amp;lang=ru</v>
      </c>
    </row>
    <row r="87" spans="1:2">
      <c r="A87" t="str">
        <f>IF(ISBLANK(Results!M88),CONCATENATE("https://maxim-saplin.github.io/cpdt_results/?selected=",Results!A88),"")</f>
        <v>https://maxim-saplin.github.io/cpdt_results/?selected=87</v>
      </c>
      <c r="B87" t="str">
        <f t="shared" si="1"/>
        <v>https://maxim-saplin.github.io/cpdt_results/?selected=87&amp;lang=ru</v>
      </c>
    </row>
    <row r="88" spans="1:2">
      <c r="A88" t="str">
        <f>IF(ISBLANK(Results!M89),CONCATENATE("https://maxim-saplin.github.io/cpdt_results/?selected=",Results!A89),"")</f>
        <v>https://maxim-saplin.github.io/cpdt_results/?selected=88</v>
      </c>
      <c r="B88" t="str">
        <f t="shared" si="1"/>
        <v>https://maxim-saplin.github.io/cpdt_results/?selected=88&amp;lang=ru</v>
      </c>
    </row>
    <row r="89" spans="1:2">
      <c r="A89" t="str">
        <f>IF(ISBLANK(Results!M90),CONCATENATE("https://maxim-saplin.github.io/cpdt_results/?selected=",Results!A90),"")</f>
        <v>https://maxim-saplin.github.io/cpdt_results/?selected=89</v>
      </c>
      <c r="B89" t="str">
        <f t="shared" si="1"/>
        <v>https://maxim-saplin.github.io/cpdt_results/?selected=89&amp;lang=ru</v>
      </c>
    </row>
    <row r="90" spans="1:2">
      <c r="A90" t="str">
        <f>IF(ISBLANK(Results!M91),CONCATENATE("https://maxim-saplin.github.io/cpdt_results/?selected=",Results!A91),"")</f>
        <v>https://maxim-saplin.github.io/cpdt_results/?selected=90</v>
      </c>
      <c r="B90" t="str">
        <f t="shared" si="1"/>
        <v>https://maxim-saplin.github.io/cpdt_results/?selected=90&amp;lang=ru</v>
      </c>
    </row>
    <row r="91" spans="1:2">
      <c r="A91" t="str">
        <f>IF(ISBLANK(Results!M92),CONCATENATE("https://maxim-saplin.github.io/cpdt_results/?selected=",Results!A92),"")</f>
        <v>https://maxim-saplin.github.io/cpdt_results/?selected=91</v>
      </c>
      <c r="B91" t="str">
        <f t="shared" si="1"/>
        <v>https://maxim-saplin.github.io/cpdt_results/?selected=91&amp;lang=ru</v>
      </c>
    </row>
    <row r="92" spans="1:2">
      <c r="A92" t="str">
        <f>IF(ISBLANK(Results!M93),CONCATENATE("https://maxim-saplin.github.io/cpdt_results/?selected=",Results!A93),"")</f>
        <v>https://maxim-saplin.github.io/cpdt_results/?selected=92</v>
      </c>
      <c r="B92" t="str">
        <f t="shared" si="1"/>
        <v>https://maxim-saplin.github.io/cpdt_results/?selected=92&amp;lang=ru</v>
      </c>
    </row>
    <row r="93" spans="1:2">
      <c r="A93" t="str">
        <f>IF(ISBLANK(Results!M94),CONCATENATE("https://maxim-saplin.github.io/cpdt_results/?selected=",Results!A94),"")</f>
        <v>https://maxim-saplin.github.io/cpdt_results/?selected=93</v>
      </c>
      <c r="B93" t="str">
        <f t="shared" si="1"/>
        <v>https://maxim-saplin.github.io/cpdt_results/?selected=93&amp;lang=ru</v>
      </c>
    </row>
    <row r="94" spans="1:2">
      <c r="A94" t="str">
        <f>IF(ISBLANK(Results!M95),CONCATENATE("https://maxim-saplin.github.io/cpdt_results/?selected=",Results!A95),"")</f>
        <v>https://maxim-saplin.github.io/cpdt_results/?selected=94</v>
      </c>
      <c r="B94" t="str">
        <f t="shared" si="1"/>
        <v>https://maxim-saplin.github.io/cpdt_results/?selected=94&amp;lang=ru</v>
      </c>
    </row>
    <row r="95" spans="1:2">
      <c r="A95" t="str">
        <f>IF(ISBLANK(Results!M96),CONCATENATE("https://maxim-saplin.github.io/cpdt_results/?selected=",Results!A96),"")</f>
        <v>https://maxim-saplin.github.io/cpdt_results/?selected=95</v>
      </c>
      <c r="B95" t="str">
        <f t="shared" si="1"/>
        <v>https://maxim-saplin.github.io/cpdt_results/?selected=95&amp;lang=ru</v>
      </c>
    </row>
    <row r="96" spans="1:2">
      <c r="A96" t="str">
        <f>IF(ISBLANK(Results!M97),CONCATENATE("https://maxim-saplin.github.io/cpdt_results/?selected=",Results!A97),"")</f>
        <v>https://maxim-saplin.github.io/cpdt_results/?selected=96</v>
      </c>
      <c r="B96" t="str">
        <f t="shared" ref="B96:B106" si="2">IF(A96="","",CONCATENATE(A96,"&amp;lang=ru"))</f>
        <v>https://maxim-saplin.github.io/cpdt_results/?selected=96&amp;lang=ru</v>
      </c>
    </row>
    <row r="97" spans="1:2">
      <c r="A97" t="str">
        <f>IF(ISBLANK(Results!M98),CONCATENATE("https://maxim-saplin.github.io/cpdt_results/?selected=",Results!A98),"")</f>
        <v>https://maxim-saplin.github.io/cpdt_results/?selected=97</v>
      </c>
      <c r="B97" t="str">
        <f t="shared" si="2"/>
        <v>https://maxim-saplin.github.io/cpdt_results/?selected=97&amp;lang=ru</v>
      </c>
    </row>
    <row r="98" spans="1:2">
      <c r="A98" t="str">
        <f>IF(ISBLANK(Results!M99),CONCATENATE("https://maxim-saplin.github.io/cpdt_results/?selected=",Results!A99),"")</f>
        <v>https://maxim-saplin.github.io/cpdt_results/?selected=98</v>
      </c>
      <c r="B98" t="str">
        <f t="shared" si="2"/>
        <v>https://maxim-saplin.github.io/cpdt_results/?selected=98&amp;lang=ru</v>
      </c>
    </row>
    <row r="99" spans="1:2">
      <c r="A99" t="str">
        <f>IF(ISBLANK(Results!M100),CONCATENATE("https://maxim-saplin.github.io/cpdt_results/?selected=",Results!A100),"")</f>
        <v>https://maxim-saplin.github.io/cpdt_results/?selected=99</v>
      </c>
      <c r="B99" t="str">
        <f t="shared" si="2"/>
        <v>https://maxim-saplin.github.io/cpdt_results/?selected=99&amp;lang=ru</v>
      </c>
    </row>
    <row r="100" spans="1:2">
      <c r="A100" t="str">
        <f>IF(ISBLANK(Results!M101),CONCATENATE("https://maxim-saplin.github.io/cpdt_results/?selected=",Results!A101),"")</f>
        <v>https://maxim-saplin.github.io/cpdt_results/?selected=100</v>
      </c>
      <c r="B100" t="str">
        <f t="shared" si="2"/>
        <v>https://maxim-saplin.github.io/cpdt_results/?selected=100&amp;lang=ru</v>
      </c>
    </row>
    <row r="101" spans="1:2">
      <c r="A101" t="str">
        <f>IF(ISBLANK(Results!M102),CONCATENATE("https://maxim-saplin.github.io/cpdt_results/?selected=",Results!A102),"")</f>
        <v>https://maxim-saplin.github.io/cpdt_results/?selected=101</v>
      </c>
      <c r="B101" t="str">
        <f t="shared" si="2"/>
        <v>https://maxim-saplin.github.io/cpdt_results/?selected=101&amp;lang=ru</v>
      </c>
    </row>
    <row r="102" spans="1:2">
      <c r="A102" t="str">
        <f>IF(ISBLANK(Results!M103),CONCATENATE("https://maxim-saplin.github.io/cpdt_results/?selected=",Results!A103),"")</f>
        <v>https://maxim-saplin.github.io/cpdt_results/?selected=102</v>
      </c>
      <c r="B102" t="str">
        <f t="shared" si="2"/>
        <v>https://maxim-saplin.github.io/cpdt_results/?selected=102&amp;lang=ru</v>
      </c>
    </row>
    <row r="103" spans="1:2">
      <c r="A103" t="str">
        <f>IF(ISBLANK(Results!M104),CONCATENATE("https://maxim-saplin.github.io/cpdt_results/?selected=",Results!A104),"")</f>
        <v>https://maxim-saplin.github.io/cpdt_results/?selected=103</v>
      </c>
      <c r="B103" t="str">
        <f t="shared" si="2"/>
        <v>https://maxim-saplin.github.io/cpdt_results/?selected=103&amp;lang=ru</v>
      </c>
    </row>
    <row r="104" spans="1:2">
      <c r="A104" t="str">
        <f>IF(ISBLANK(Results!M105),CONCATENATE("https://maxim-saplin.github.io/cpdt_results/?selected=",Results!A105),"")</f>
        <v>https://maxim-saplin.github.io/cpdt_results/?selected=104</v>
      </c>
      <c r="B104" t="str">
        <f t="shared" si="2"/>
        <v>https://maxim-saplin.github.io/cpdt_results/?selected=104&amp;lang=ru</v>
      </c>
    </row>
    <row r="105" spans="1:2">
      <c r="A105" t="str">
        <f>IF(ISBLANK(Results!M106),CONCATENATE("https://maxim-saplin.github.io/cpdt_results/?selected=",Results!A106),"")</f>
        <v>https://maxim-saplin.github.io/cpdt_results/?selected=105</v>
      </c>
      <c r="B105" t="str">
        <f t="shared" si="2"/>
        <v>https://maxim-saplin.github.io/cpdt_results/?selected=105&amp;lang=ru</v>
      </c>
    </row>
    <row r="106" spans="1:2">
      <c r="A106" t="str">
        <f>IF(ISBLANK(Results!M107),CONCATENATE("https://maxim-saplin.github.io/cpdt_results/?selected=",Results!A107),"")</f>
        <v>https://maxim-saplin.github.io/cpdt_results/?selected=</v>
      </c>
      <c r="B106" t="str">
        <f t="shared" si="2"/>
        <v>https://maxim-saplin.github.io/cpdt_results/?selected=&amp;lang=ru</v>
      </c>
    </row>
    <row r="107" spans="1:2">
      <c r="A107" t="str">
        <f>IF(ISBLANK(Results!M108),CONCATENATE("https://maxim-saplin.github.io/cpdt_results/?selected=",Results!A108),"")</f>
        <v>https://maxim-saplin.github.io/cpdt_results/?selected=</v>
      </c>
      <c r="B107" t="str">
        <f t="shared" ref="B107:B108" si="3">IF(A107="","",CONCATENATE(A107,"&amp;lang=ru"))</f>
        <v>https://maxim-saplin.github.io/cpdt_results/?selected=&amp;lang=ru</v>
      </c>
    </row>
    <row r="108" spans="1:2">
      <c r="A108" t="str">
        <f>IF(ISBLANK(Results!M109),CONCATENATE("https://maxim-saplin.github.io/cpdt_results/?selected=",Results!A109),"")</f>
        <v>https://maxim-saplin.github.io/cpdt_results/?selected=</v>
      </c>
      <c r="B108" t="str">
        <f t="shared" si="3"/>
        <v>https://maxim-saplin.github.io/cpdt_results/?selected=&amp;lang=ru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Results</vt:lpstr>
      <vt:lpstr>URLs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2018-11-24T17:37:54Z</dcterms:created>
  <dcterms:modified xsi:type="dcterms:W3CDTF">2019-01-27T17:00:13Z</dcterms:modified>
</cp:coreProperties>
</file>