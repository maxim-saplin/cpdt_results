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74E0C851-3178-4845-8FC6-8BBB33A6DB31}" xr6:coauthVersionLast="37" xr6:coauthVersionMax="37" xr10:uidLastSave="{00000000-0000-0000-0000-000000000000}"/>
  <bookViews>
    <workbookView xWindow="10380" yWindow="2220" windowWidth="23220" windowHeight="17860" xr2:uid="{00000000-000D-0000-FFFF-FFFF00000000}"/>
  </bookViews>
  <sheets>
    <sheet name="Лист1" sheetId="1" r:id="rId1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8" i="1" l="1"/>
  <c r="K18" i="1" l="1"/>
  <c r="J18" i="1"/>
  <c r="J7" i="1" l="1"/>
</calcChain>
</file>

<file path=xl/sharedStrings.xml><?xml version="1.0" encoding="utf-8"?>
<sst xmlns="http://schemas.openxmlformats.org/spreadsheetml/2006/main" count="108" uniqueCount="70">
  <si>
    <t>Xiaomi Mi8 SE</t>
  </si>
  <si>
    <t>Snapdragon 710, 64GB</t>
  </si>
  <si>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</si>
  <si>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</si>
  <si>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</si>
  <si>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</si>
  <si>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</si>
  <si>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</si>
  <si>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</si>
  <si>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</si>
  <si>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</si>
  <si>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</si>
  <si>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</si>
  <si>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</si>
  <si>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Snapdragon 835, 128GB</t>
  </si>
  <si>
    <t>Android</t>
  </si>
  <si>
    <t>macOS</t>
  </si>
  <si>
    <t>Windows</t>
  </si>
  <si>
    <t>15\" MacBook Pro</t>
  </si>
  <si>
    <t>id</t>
  </si>
  <si>
    <t>platform</t>
  </si>
  <si>
    <t>Meizu 16th</t>
  </si>
  <si>
    <t>Snapdragon 845, 128GB</t>
  </si>
  <si>
    <t>Exynos 8890, 32GB</t>
  </si>
  <si>
    <t>Snapdragon 820, 32GB</t>
  </si>
  <si>
    <t>Nokia N1</t>
  </si>
  <si>
    <t>Intel Z3580, 32GB</t>
  </si>
  <si>
    <t>Google Pixel 2</t>
  </si>
  <si>
    <t>Snapdragon 835, 64GB</t>
  </si>
  <si>
    <t>Xiaomi Mi6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</si>
  <si>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</si>
  <si>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</si>
  <si>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</si>
  <si>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</si>
  <si>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</si>
  <si>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</si>
  <si>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Xiaomi Mi5</t>
  </si>
  <si>
    <t>Exynos 5433, 32GB</t>
  </si>
  <si>
    <t>Snapdragon 801, 16GB</t>
  </si>
  <si>
    <t>Xiaomi Redmi Note 4</t>
  </si>
  <si>
    <t>Xiaomi Redmi 4 Pro/Prime</t>
  </si>
  <si>
    <t>Snapdragon 625, 32GB</t>
  </si>
  <si>
    <t>Snapdragon 625, 32GB, 10GB free</t>
  </si>
  <si>
    <t>Snapdragon 625, 32GB, 2GB free</t>
  </si>
  <si>
    <t xml:space="preserve">512GB, APFS </t>
  </si>
  <si>
    <t>512GB, NTFS partition</t>
  </si>
  <si>
    <t>512GB, Windows 10 Bootcamp, NTFS</t>
  </si>
  <si>
    <t>512GB, Windows 10, VMWare Fusion, NTFS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</si>
  <si>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</si>
  <si>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</si>
  <si>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</si>
  <si>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</si>
  <si>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</si>
  <si>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</si>
  <si>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Exynos 9810, 64GB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</si>
  <si>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</si>
  <si>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</si>
  <si>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</si>
  <si>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</si>
  <si>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</si>
  <si>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Lenovo ThinkPad 13 Gen 2</t>
  </si>
  <si>
    <t>256GB SSD Intel 600p, Core i5-7200U</t>
  </si>
  <si>
    <t>500GB/7200RPM, Core i5-4460</t>
  </si>
  <si>
    <t>256GB, Core i5-4460</t>
  </si>
  <si>
    <t>Dell OptiPlex 24 7440</t>
  </si>
  <si>
    <t>256GB SSD SK Hynix PC300, Core i5-6500</t>
  </si>
  <si>
    <t>Samsung Galaxy S5</t>
  </si>
  <si>
    <t>Samsung Galaxy S7</t>
  </si>
  <si>
    <t>Samsung SSD EVO 850</t>
  </si>
  <si>
    <t>Snapdragon 710, 64GB, encryption disabled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</si>
</sst>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2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33"/>
  <sheetViews>
    <sheetView tabSelected="1" topLeftCell="B1" workbookViewId="0">
      <pane ySplit="1" topLeftCell="A2" activePane="bottomLeft" state="frozen"/>
      <selection pane="bottomLeft" activeCell="G34" sqref="G34"/>
    </sheetView>
  </sheetViews>
  <sheetFormatPr baseColWidth="10" defaultColWidth="11" defaultRowHeight="16" x14ac:dyDescent="0.2"/>
  <cols>
    <col min="1" max="1" width="11" style="1"/>
    <col min="2" max="2" width="24.5" customWidth="1"/>
    <col min="3" max="3" width="21.5" customWidth="1"/>
    <col min="4" max="4" width="29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19</v>
      </c>
      <c r="B1" s="1" t="s">
        <v>3</v>
      </c>
      <c r="C1" s="1" t="s">
        <v>20</v>
      </c>
      <c r="D1" s="1" t="s">
        <v>11</v>
      </c>
      <c r="E1" s="1" t="s">
        <v>12</v>
      </c>
      <c r="F1" s="1" t="s">
        <v>10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9</v>
      </c>
    </row>
    <row r="2" spans="1:13" x14ac:dyDescent="0.2">
      <c r="A2" s="1">
        <v>1</v>
      </c>
      <c r="B2" t="s">
        <v>0</v>
      </c>
      <c r="C2" t="s">
        <v>15</v>
      </c>
      <c r="D2" t="s">
        <v>1</v>
      </c>
      <c r="F2">
        <v>2018</v>
      </c>
      <c r="G2" s="2">
        <v>43396</v>
      </c>
      <c r="H2" s="4">
        <v>110</v>
      </c>
      <c r="I2" s="4">
        <v>299</v>
      </c>
      <c r="J2" s="4">
        <v>18.899999999999999</v>
      </c>
      <c r="K2" s="4">
        <v>9.5</v>
      </c>
      <c r="L2" s="3">
        <v>4.6500000000000004</v>
      </c>
      <c r="M2" s="5"/>
    </row>
    <row r="3" spans="1:13" x14ac:dyDescent="0.2">
      <c r="A3" s="1">
        <v>2</v>
      </c>
      <c r="B3" t="s">
        <v>2</v>
      </c>
      <c r="C3" t="s">
        <v>15</v>
      </c>
      <c r="D3" t="s">
        <v>54</v>
      </c>
      <c r="F3">
        <v>2018</v>
      </c>
      <c r="G3" s="2">
        <v>43377</v>
      </c>
      <c r="H3" s="4">
        <v>118</v>
      </c>
      <c r="I3" s="4">
        <v>654</v>
      </c>
      <c r="J3" s="4">
        <v>1.7</v>
      </c>
      <c r="K3" s="4">
        <v>14.4</v>
      </c>
      <c r="L3" s="3">
        <v>12.7</v>
      </c>
    </row>
    <row r="4" spans="1:13" x14ac:dyDescent="0.2">
      <c r="A4" s="1">
        <v>3</v>
      </c>
      <c r="B4" t="s">
        <v>13</v>
      </c>
      <c r="C4" t="s">
        <v>15</v>
      </c>
      <c r="D4" t="s">
        <v>14</v>
      </c>
      <c r="F4">
        <v>2017</v>
      </c>
      <c r="G4" s="2">
        <v>43373</v>
      </c>
      <c r="H4" s="4">
        <v>125</v>
      </c>
      <c r="I4" s="4">
        <v>440</v>
      </c>
      <c r="J4" s="4">
        <v>4.8</v>
      </c>
      <c r="K4" s="4">
        <v>17.7</v>
      </c>
      <c r="L4" s="3">
        <v>6.6</v>
      </c>
    </row>
    <row r="5" spans="1:13" x14ac:dyDescent="0.2">
      <c r="A5" s="1">
        <v>4</v>
      </c>
      <c r="B5" t="s">
        <v>18</v>
      </c>
      <c r="C5" t="s">
        <v>16</v>
      </c>
      <c r="D5" t="s">
        <v>44</v>
      </c>
      <c r="F5">
        <v>2018</v>
      </c>
      <c r="G5" s="2">
        <v>43376</v>
      </c>
      <c r="H5" s="4">
        <v>1330</v>
      </c>
      <c r="I5" s="4">
        <v>2090</v>
      </c>
      <c r="J5" s="4">
        <v>75</v>
      </c>
      <c r="K5" s="4">
        <v>38</v>
      </c>
      <c r="L5" s="3">
        <v>10.3</v>
      </c>
    </row>
    <row r="6" spans="1:13" x14ac:dyDescent="0.2">
      <c r="A6" s="1">
        <v>5</v>
      </c>
      <c r="B6" t="s">
        <v>18</v>
      </c>
      <c r="C6" t="s">
        <v>16</v>
      </c>
      <c r="D6" t="s">
        <v>45</v>
      </c>
      <c r="F6">
        <v>2018</v>
      </c>
      <c r="G6" s="2">
        <v>43376</v>
      </c>
      <c r="H6" s="4">
        <v>730</v>
      </c>
      <c r="I6" s="4">
        <v>694</v>
      </c>
      <c r="J6" s="4">
        <v>27</v>
      </c>
      <c r="K6" s="4">
        <v>8</v>
      </c>
      <c r="L6" s="3">
        <v>10.3</v>
      </c>
    </row>
    <row r="7" spans="1:13" x14ac:dyDescent="0.2">
      <c r="A7" s="1">
        <v>6</v>
      </c>
      <c r="B7" t="s">
        <v>18</v>
      </c>
      <c r="C7" t="s">
        <v>17</v>
      </c>
      <c r="D7" t="s">
        <v>46</v>
      </c>
      <c r="F7">
        <v>2018</v>
      </c>
      <c r="G7" s="2">
        <v>43376</v>
      </c>
      <c r="H7" s="4">
        <v>343</v>
      </c>
      <c r="I7" s="4">
        <v>1618</v>
      </c>
      <c r="J7" s="4">
        <f>576/1024</f>
        <v>0.5625</v>
      </c>
      <c r="K7" s="4">
        <v>11</v>
      </c>
      <c r="L7" s="3">
        <v>8.5</v>
      </c>
    </row>
    <row r="8" spans="1:13" x14ac:dyDescent="0.2">
      <c r="A8" s="1">
        <v>7</v>
      </c>
      <c r="B8" t="s">
        <v>18</v>
      </c>
      <c r="C8" t="s">
        <v>17</v>
      </c>
      <c r="D8" t="s">
        <v>47</v>
      </c>
      <c r="F8">
        <v>2018</v>
      </c>
      <c r="G8" s="2">
        <v>43376</v>
      </c>
      <c r="H8" s="4">
        <v>850</v>
      </c>
      <c r="I8" s="4">
        <v>2458</v>
      </c>
      <c r="J8" s="4">
        <v>12</v>
      </c>
      <c r="K8" s="4">
        <v>29</v>
      </c>
      <c r="L8" s="3">
        <v>5.8</v>
      </c>
    </row>
    <row r="9" spans="1:13" x14ac:dyDescent="0.2">
      <c r="A9" s="1">
        <v>8</v>
      </c>
      <c r="B9" t="s">
        <v>21</v>
      </c>
      <c r="C9" t="s">
        <v>15</v>
      </c>
      <c r="D9" t="s">
        <v>22</v>
      </c>
      <c r="F9">
        <v>2018</v>
      </c>
      <c r="G9" s="2">
        <v>43405</v>
      </c>
      <c r="H9" s="4">
        <v>160</v>
      </c>
      <c r="I9" s="4">
        <v>660</v>
      </c>
      <c r="J9" s="4">
        <v>5.2</v>
      </c>
      <c r="K9" s="4">
        <v>15.5</v>
      </c>
      <c r="L9" s="3">
        <v>7.9</v>
      </c>
    </row>
    <row r="10" spans="1:13" x14ac:dyDescent="0.2">
      <c r="A10" s="1">
        <v>9</v>
      </c>
      <c r="B10" t="s">
        <v>67</v>
      </c>
      <c r="C10" t="s">
        <v>15</v>
      </c>
      <c r="D10" t="s">
        <v>23</v>
      </c>
      <c r="F10">
        <v>2016</v>
      </c>
      <c r="G10" s="2">
        <v>43377</v>
      </c>
      <c r="H10" s="4">
        <v>74</v>
      </c>
      <c r="I10" s="4">
        <v>276</v>
      </c>
      <c r="J10" s="4">
        <v>3.5</v>
      </c>
      <c r="K10" s="4">
        <v>12</v>
      </c>
      <c r="L10" s="3">
        <v>5.2</v>
      </c>
    </row>
    <row r="11" spans="1:13" x14ac:dyDescent="0.2">
      <c r="A11" s="1">
        <v>10</v>
      </c>
      <c r="B11" t="s">
        <v>36</v>
      </c>
      <c r="C11" t="s">
        <v>15</v>
      </c>
      <c r="D11" t="s">
        <v>24</v>
      </c>
      <c r="F11">
        <v>2016</v>
      </c>
      <c r="G11" s="2">
        <v>43376</v>
      </c>
      <c r="H11" s="4">
        <v>81</v>
      </c>
      <c r="I11" s="4">
        <v>452</v>
      </c>
      <c r="J11" s="4">
        <v>3.5</v>
      </c>
      <c r="K11" s="4">
        <v>12.5</v>
      </c>
      <c r="L11" s="3">
        <v>4.3</v>
      </c>
    </row>
    <row r="12" spans="1:13" x14ac:dyDescent="0.2">
      <c r="A12" s="1">
        <v>11</v>
      </c>
      <c r="B12" t="s">
        <v>25</v>
      </c>
      <c r="C12" t="s">
        <v>15</v>
      </c>
      <c r="D12" t="s">
        <v>26</v>
      </c>
      <c r="F12">
        <v>2015</v>
      </c>
      <c r="G12" s="2">
        <v>43373</v>
      </c>
      <c r="H12" s="4">
        <v>48</v>
      </c>
      <c r="I12" s="4">
        <v>163</v>
      </c>
      <c r="J12" s="4">
        <v>2.9</v>
      </c>
      <c r="K12" s="4">
        <v>12.3</v>
      </c>
      <c r="L12" s="3">
        <v>1.2</v>
      </c>
    </row>
    <row r="13" spans="1:13" x14ac:dyDescent="0.2">
      <c r="A13" s="1">
        <v>12</v>
      </c>
      <c r="B13" t="s">
        <v>27</v>
      </c>
      <c r="C13" t="s">
        <v>15</v>
      </c>
      <c r="D13" t="s">
        <v>28</v>
      </c>
      <c r="F13">
        <v>2017</v>
      </c>
      <c r="G13" s="2">
        <v>43376</v>
      </c>
      <c r="H13" s="4">
        <v>130</v>
      </c>
      <c r="I13" s="4">
        <v>657</v>
      </c>
      <c r="J13" s="4">
        <v>3.8</v>
      </c>
      <c r="K13" s="4">
        <v>17.600000000000001</v>
      </c>
      <c r="L13" s="3">
        <v>7.3</v>
      </c>
    </row>
    <row r="14" spans="1:13" x14ac:dyDescent="0.2">
      <c r="A14" s="1">
        <v>13</v>
      </c>
      <c r="B14" t="s">
        <v>29</v>
      </c>
      <c r="C14" t="s">
        <v>15</v>
      </c>
      <c r="D14" t="s">
        <v>28</v>
      </c>
      <c r="F14">
        <v>2017</v>
      </c>
      <c r="G14" s="2">
        <v>43376</v>
      </c>
      <c r="H14" s="5">
        <v>88</v>
      </c>
      <c r="I14" s="4">
        <v>386</v>
      </c>
      <c r="J14" s="4">
        <v>4.7</v>
      </c>
      <c r="K14" s="4">
        <v>17.7</v>
      </c>
      <c r="L14" s="3">
        <v>7.5</v>
      </c>
    </row>
    <row r="15" spans="1:13" x14ac:dyDescent="0.2">
      <c r="A15" s="1">
        <v>14</v>
      </c>
      <c r="B15" t="s">
        <v>30</v>
      </c>
      <c r="C15" t="s">
        <v>15</v>
      </c>
      <c r="D15" t="s">
        <v>31</v>
      </c>
      <c r="F15">
        <v>2016</v>
      </c>
      <c r="G15" s="2">
        <v>43385</v>
      </c>
      <c r="H15" s="4">
        <v>37</v>
      </c>
      <c r="I15" s="4">
        <v>235</v>
      </c>
      <c r="J15" s="4">
        <v>11</v>
      </c>
      <c r="K15" s="4">
        <v>16</v>
      </c>
      <c r="L15" s="3">
        <v>7.3</v>
      </c>
    </row>
    <row r="16" spans="1:13" x14ac:dyDescent="0.2">
      <c r="A16" s="1">
        <v>15</v>
      </c>
      <c r="B16" t="s">
        <v>32</v>
      </c>
      <c r="C16" t="s">
        <v>15</v>
      </c>
      <c r="D16" t="s">
        <v>33</v>
      </c>
      <c r="F16">
        <v>2015</v>
      </c>
      <c r="G16" s="2">
        <v>43376</v>
      </c>
      <c r="H16" s="4">
        <v>17.3</v>
      </c>
      <c r="I16" s="4">
        <v>78</v>
      </c>
      <c r="J16" s="4">
        <v>1.1499999999999999</v>
      </c>
      <c r="K16" s="4">
        <v>7.36</v>
      </c>
      <c r="L16" s="3">
        <v>1.4</v>
      </c>
    </row>
    <row r="17" spans="1:12" x14ac:dyDescent="0.2">
      <c r="A17" s="1">
        <v>16</v>
      </c>
      <c r="B17" t="s">
        <v>68</v>
      </c>
      <c r="C17" t="s">
        <v>17</v>
      </c>
      <c r="D17" t="s">
        <v>63</v>
      </c>
      <c r="F17">
        <v>2014</v>
      </c>
      <c r="G17" s="2">
        <v>43377</v>
      </c>
      <c r="H17" s="4">
        <v>340</v>
      </c>
      <c r="I17" s="4">
        <v>503</v>
      </c>
      <c r="J17" s="4">
        <v>5.2</v>
      </c>
      <c r="K17" s="4">
        <v>41</v>
      </c>
      <c r="L17" s="3">
        <v>9.1</v>
      </c>
    </row>
    <row r="18" spans="1:12" x14ac:dyDescent="0.2">
      <c r="A18" s="1">
        <v>17</v>
      </c>
      <c r="B18" t="s">
        <v>34</v>
      </c>
      <c r="C18" t="s">
        <v>17</v>
      </c>
      <c r="D18" t="s">
        <v>62</v>
      </c>
      <c r="F18">
        <v>2010</v>
      </c>
      <c r="G18" s="2">
        <v>43377</v>
      </c>
      <c r="H18" s="4">
        <v>62</v>
      </c>
      <c r="I18" s="4">
        <v>124</v>
      </c>
      <c r="J18" s="4">
        <f>210/1024</f>
        <v>0.205078125</v>
      </c>
      <c r="K18" s="4">
        <f>634/1024</f>
        <v>0.619140625</v>
      </c>
      <c r="L18" s="3">
        <v>9.1</v>
      </c>
    </row>
    <row r="19" spans="1:12" x14ac:dyDescent="0.2">
      <c r="A19" s="1">
        <v>18</v>
      </c>
      <c r="B19" t="s">
        <v>35</v>
      </c>
      <c r="C19" t="s">
        <v>15</v>
      </c>
      <c r="D19" t="s">
        <v>37</v>
      </c>
      <c r="F19">
        <v>2014</v>
      </c>
      <c r="G19" s="2">
        <v>43375</v>
      </c>
      <c r="H19" s="4">
        <v>77</v>
      </c>
      <c r="I19" s="4">
        <v>216</v>
      </c>
      <c r="J19" s="4">
        <v>3.8</v>
      </c>
      <c r="K19" s="4">
        <v>2.8</v>
      </c>
      <c r="L19" s="3">
        <v>2.6</v>
      </c>
    </row>
    <row r="20" spans="1:12" x14ac:dyDescent="0.2">
      <c r="A20" s="1">
        <v>19</v>
      </c>
      <c r="B20" t="s">
        <v>66</v>
      </c>
      <c r="C20" t="s">
        <v>15</v>
      </c>
      <c r="D20" t="s">
        <v>38</v>
      </c>
      <c r="F20">
        <v>2014</v>
      </c>
      <c r="G20" s="2">
        <v>43374</v>
      </c>
      <c r="H20" s="4">
        <v>40</v>
      </c>
      <c r="I20" s="4">
        <v>202</v>
      </c>
      <c r="J20" s="4">
        <v>3.1</v>
      </c>
      <c r="K20" s="4">
        <v>10.7</v>
      </c>
      <c r="L20" s="3">
        <v>1.1399999999999999</v>
      </c>
    </row>
    <row r="21" spans="1:12" x14ac:dyDescent="0.2">
      <c r="A21" s="1">
        <v>20</v>
      </c>
      <c r="B21" t="s">
        <v>39</v>
      </c>
      <c r="C21" t="s">
        <v>15</v>
      </c>
      <c r="D21" t="s">
        <v>41</v>
      </c>
      <c r="F21">
        <v>2017</v>
      </c>
      <c r="G21" s="2">
        <v>43377</v>
      </c>
      <c r="H21" s="4">
        <v>36</v>
      </c>
      <c r="I21" s="4">
        <v>207</v>
      </c>
      <c r="J21" s="4">
        <v>10.4</v>
      </c>
      <c r="K21" s="4">
        <v>10.3</v>
      </c>
      <c r="L21" s="3">
        <v>1.46</v>
      </c>
    </row>
    <row r="22" spans="1:12" x14ac:dyDescent="0.2">
      <c r="A22" s="1">
        <v>21</v>
      </c>
      <c r="B22" t="s">
        <v>40</v>
      </c>
      <c r="C22" t="s">
        <v>15</v>
      </c>
      <c r="D22" t="s">
        <v>42</v>
      </c>
      <c r="F22">
        <v>2016</v>
      </c>
      <c r="G22" s="2">
        <v>43374</v>
      </c>
      <c r="H22" s="4">
        <v>16.8</v>
      </c>
      <c r="I22" s="4">
        <v>148</v>
      </c>
      <c r="J22" s="4">
        <v>5</v>
      </c>
      <c r="K22" s="4">
        <v>9.6</v>
      </c>
      <c r="L22" s="3">
        <v>1.6</v>
      </c>
    </row>
    <row r="23" spans="1:12" x14ac:dyDescent="0.2">
      <c r="A23" s="1">
        <v>22</v>
      </c>
      <c r="B23" t="s">
        <v>40</v>
      </c>
      <c r="C23" t="s">
        <v>15</v>
      </c>
      <c r="D23" t="s">
        <v>43</v>
      </c>
      <c r="F23">
        <v>2016</v>
      </c>
      <c r="G23" s="2">
        <v>43387</v>
      </c>
      <c r="H23" s="4">
        <v>12.5</v>
      </c>
      <c r="I23" s="4">
        <v>143</v>
      </c>
      <c r="J23" s="4">
        <v>3.3</v>
      </c>
      <c r="K23" s="4">
        <v>3.9</v>
      </c>
      <c r="L23" s="3">
        <v>1.6</v>
      </c>
    </row>
    <row r="24" spans="1:12" x14ac:dyDescent="0.2">
      <c r="A24" s="1">
        <v>23</v>
      </c>
      <c r="B24" t="s">
        <v>18</v>
      </c>
      <c r="C24" t="s">
        <v>16</v>
      </c>
      <c r="D24" t="s">
        <v>48</v>
      </c>
      <c r="F24">
        <v>2013</v>
      </c>
      <c r="G24" s="2">
        <v>43375</v>
      </c>
      <c r="H24" s="4">
        <v>294</v>
      </c>
      <c r="I24" s="4">
        <v>407</v>
      </c>
      <c r="J24" s="4">
        <v>26</v>
      </c>
      <c r="K24" s="4">
        <v>17.7</v>
      </c>
      <c r="L24" s="3">
        <v>5.9</v>
      </c>
    </row>
    <row r="25" spans="1:12" x14ac:dyDescent="0.2">
      <c r="A25" s="1">
        <v>24</v>
      </c>
      <c r="B25" t="s">
        <v>18</v>
      </c>
      <c r="C25" t="s">
        <v>16</v>
      </c>
      <c r="D25" t="s">
        <v>49</v>
      </c>
      <c r="F25">
        <v>2014</v>
      </c>
      <c r="G25" s="2">
        <v>43376</v>
      </c>
      <c r="H25" s="4">
        <v>541</v>
      </c>
      <c r="I25" s="4">
        <v>699</v>
      </c>
      <c r="J25" s="4">
        <v>43</v>
      </c>
      <c r="K25" s="4">
        <v>23</v>
      </c>
      <c r="L25" s="3">
        <v>6.7</v>
      </c>
    </row>
    <row r="26" spans="1:12" x14ac:dyDescent="0.2">
      <c r="A26" s="1">
        <v>25</v>
      </c>
      <c r="B26" t="s">
        <v>50</v>
      </c>
      <c r="C26" t="s">
        <v>16</v>
      </c>
      <c r="D26" t="s">
        <v>51</v>
      </c>
      <c r="F26">
        <v>2017</v>
      </c>
      <c r="G26" s="2">
        <v>43377</v>
      </c>
      <c r="H26" s="4">
        <v>766</v>
      </c>
      <c r="I26" s="4">
        <v>962</v>
      </c>
      <c r="J26" s="4">
        <v>63</v>
      </c>
      <c r="K26" s="4">
        <v>39</v>
      </c>
      <c r="L26" s="3">
        <v>9.1</v>
      </c>
    </row>
    <row r="27" spans="1:12" x14ac:dyDescent="0.2">
      <c r="A27" s="1">
        <v>26</v>
      </c>
      <c r="B27" t="s">
        <v>52</v>
      </c>
      <c r="C27" t="s">
        <v>15</v>
      </c>
      <c r="D27" t="s">
        <v>53</v>
      </c>
      <c r="F27">
        <v>2018</v>
      </c>
      <c r="G27" s="2">
        <v>43377</v>
      </c>
      <c r="H27" s="4">
        <v>110</v>
      </c>
      <c r="I27" s="4">
        <v>653</v>
      </c>
      <c r="J27" s="4">
        <v>1.1000000000000001</v>
      </c>
      <c r="K27" s="4">
        <v>12.3</v>
      </c>
      <c r="L27" s="3">
        <v>13</v>
      </c>
    </row>
    <row r="28" spans="1:12" x14ac:dyDescent="0.2">
      <c r="A28" s="1">
        <v>27</v>
      </c>
      <c r="B28" t="s">
        <v>55</v>
      </c>
      <c r="C28" t="s">
        <v>17</v>
      </c>
      <c r="D28" t="s">
        <v>56</v>
      </c>
      <c r="F28">
        <v>2018</v>
      </c>
      <c r="G28" s="2">
        <v>43429</v>
      </c>
      <c r="H28" s="4">
        <v>96</v>
      </c>
      <c r="I28" s="4">
        <v>127</v>
      </c>
      <c r="J28" s="4">
        <f>970/1024</f>
        <v>0.947265625</v>
      </c>
      <c r="K28" s="4">
        <v>39</v>
      </c>
      <c r="L28" s="3">
        <v>4.3</v>
      </c>
    </row>
    <row r="29" spans="1:12" x14ac:dyDescent="0.2">
      <c r="A29" s="1">
        <v>28</v>
      </c>
      <c r="B29" t="s">
        <v>55</v>
      </c>
      <c r="C29" t="s">
        <v>17</v>
      </c>
      <c r="D29" t="s">
        <v>57</v>
      </c>
      <c r="F29">
        <v>2018</v>
      </c>
      <c r="G29" s="2">
        <v>43429</v>
      </c>
      <c r="H29" s="4">
        <v>128</v>
      </c>
      <c r="I29" s="4">
        <v>128</v>
      </c>
      <c r="J29" s="4">
        <v>8.4</v>
      </c>
      <c r="K29" s="4">
        <v>15.9</v>
      </c>
      <c r="L29" s="3">
        <v>4.3</v>
      </c>
    </row>
    <row r="30" spans="1:12" x14ac:dyDescent="0.2">
      <c r="A30" s="1">
        <v>29</v>
      </c>
      <c r="B30" t="s">
        <v>58</v>
      </c>
      <c r="C30" t="s">
        <v>15</v>
      </c>
      <c r="D30" t="s">
        <v>59</v>
      </c>
      <c r="F30">
        <v>2013</v>
      </c>
      <c r="G30" s="2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3">
        <v>0.85</v>
      </c>
    </row>
    <row r="31" spans="1:12" x14ac:dyDescent="0.2">
      <c r="A31" s="1">
        <v>30</v>
      </c>
      <c r="B31" t="s">
        <v>60</v>
      </c>
      <c r="C31" t="s">
        <v>17</v>
      </c>
      <c r="D31" t="s">
        <v>61</v>
      </c>
      <c r="F31">
        <v>2017</v>
      </c>
      <c r="G31" s="2">
        <v>43430</v>
      </c>
      <c r="H31" s="4">
        <v>385</v>
      </c>
      <c r="I31" s="4">
        <v>1125</v>
      </c>
      <c r="J31" s="4">
        <v>1.42</v>
      </c>
      <c r="K31" s="4">
        <v>29</v>
      </c>
      <c r="L31" s="3">
        <v>6.95</v>
      </c>
    </row>
    <row r="32" spans="1:12" x14ac:dyDescent="0.2">
      <c r="A32" s="1">
        <v>31</v>
      </c>
      <c r="B32" t="s">
        <v>64</v>
      </c>
      <c r="C32" t="s">
        <v>17</v>
      </c>
      <c r="D32" t="s">
        <v>65</v>
      </c>
      <c r="F32">
        <v>2015</v>
      </c>
      <c r="G32" s="2">
        <v>43431</v>
      </c>
      <c r="H32" s="4">
        <v>269</v>
      </c>
      <c r="I32" s="4">
        <v>1430</v>
      </c>
      <c r="J32" s="4">
        <v>3.08</v>
      </c>
      <c r="K32" s="4">
        <v>27</v>
      </c>
      <c r="L32" s="3">
        <v>4</v>
      </c>
    </row>
    <row r="33" spans="1:12" x14ac:dyDescent="0.2">
      <c r="A33" s="1">
        <v>32</v>
      </c>
      <c r="B33" t="s">
        <v>0</v>
      </c>
      <c r="C33" t="s">
        <v>15</v>
      </c>
      <c r="D33" t="s">
        <v>69</v>
      </c>
      <c r="F33">
        <v>2018</v>
      </c>
      <c r="G33" s="2">
        <v>43387</v>
      </c>
      <c r="H33" s="4">
        <v>118</v>
      </c>
      <c r="I33" s="4">
        <v>314</v>
      </c>
      <c r="J33" s="4">
        <v>19.100000000000001</v>
      </c>
      <c r="K33" s="4">
        <v>13</v>
      </c>
      <c r="L33" s="3">
        <v>4.6500000000000004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2018-11-27T21:28:24Z</dcterms:modified>
</cp:coreProperties>
</file>